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ccounts\"/>
    </mc:Choice>
  </mc:AlternateContent>
  <xr:revisionPtr revIDLastSave="0" documentId="13_ncr:1_{EAF68AF4-0571-4E49-943A-542A4727566E}" xr6:coauthVersionLast="47" xr6:coauthVersionMax="47" xr10:uidLastSave="{00000000-0000-0000-0000-000000000000}"/>
  <bookViews>
    <workbookView xWindow="-120" yWindow="-120" windowWidth="20730" windowHeight="11160" firstSheet="4" activeTab="7" xr2:uid="{00000000-000D-0000-FFFF-FFFF00000000}"/>
  </bookViews>
  <sheets>
    <sheet name="term one 2026" sheetId="1" r:id="rId1"/>
    <sheet name="daily expense" sheetId="4" r:id="rId2"/>
    <sheet name="school enrollment" sheetId="2" r:id="rId3"/>
    <sheet name="workbooks" sheetId="3" r:id="rId4"/>
    <sheet name="work book TERM 2" sheetId="5" r:id="rId5"/>
    <sheet name="library" sheetId="6" r:id="rId6"/>
    <sheet name="UNIFORMS TERM TWO" sheetId="7" r:id="rId7"/>
    <sheet name="term two fees" sheetId="9" r:id="rId8"/>
    <sheet name="Sheet1" sheetId="10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9" l="1"/>
  <c r="K127" i="9"/>
  <c r="L127" i="9" s="1"/>
  <c r="K29" i="9"/>
  <c r="K140" i="9"/>
  <c r="K53" i="9"/>
  <c r="K43" i="9"/>
  <c r="K117" i="9"/>
  <c r="K189" i="9"/>
  <c r="K23" i="9"/>
  <c r="K149" i="9"/>
  <c r="K92" i="9"/>
  <c r="K146" i="9"/>
  <c r="K167" i="9"/>
  <c r="K148" i="9"/>
  <c r="I235" i="9"/>
  <c r="K122" i="9"/>
  <c r="K112" i="9"/>
  <c r="K72" i="9"/>
  <c r="K62" i="9"/>
  <c r="K84" i="9"/>
  <c r="L80" i="9"/>
  <c r="K59" i="9"/>
  <c r="K34" i="9"/>
  <c r="K73" i="9"/>
  <c r="K57" i="9"/>
  <c r="K227" i="9"/>
  <c r="K116" i="9"/>
  <c r="K105" i="9"/>
  <c r="K32" i="9"/>
  <c r="K154" i="9"/>
  <c r="K203" i="9"/>
  <c r="K232" i="9"/>
  <c r="K79" i="9"/>
  <c r="K134" i="9"/>
  <c r="K102" i="9"/>
  <c r="K4" i="9"/>
  <c r="L4" i="9" s="1"/>
  <c r="K74" i="9"/>
  <c r="K94" i="9"/>
  <c r="K226" i="9"/>
  <c r="K40" i="9"/>
  <c r="K63" i="9"/>
  <c r="K132" i="9"/>
  <c r="K151" i="9"/>
  <c r="K47" i="9"/>
  <c r="K46" i="9"/>
  <c r="K104" i="9"/>
  <c r="K153" i="9"/>
  <c r="K178" i="9"/>
  <c r="K90" i="9"/>
  <c r="L3" i="9"/>
  <c r="L5" i="9"/>
  <c r="L6" i="9"/>
  <c r="K52" i="9"/>
  <c r="K118" i="9"/>
  <c r="I118" i="9"/>
  <c r="K199" i="9"/>
  <c r="K196" i="9"/>
  <c r="K26" i="9"/>
  <c r="I49" i="9"/>
  <c r="K30" i="9"/>
  <c r="I30" i="9"/>
  <c r="K22" i="9"/>
  <c r="K48" i="9"/>
  <c r="K75" i="9"/>
  <c r="K180" i="9"/>
  <c r="K49" i="9"/>
  <c r="K55" i="9"/>
  <c r="K83" i="9"/>
  <c r="K82" i="9"/>
  <c r="K141" i="9"/>
  <c r="K89" i="9"/>
  <c r="K7" i="9"/>
  <c r="K64" i="9"/>
  <c r="K191" i="9"/>
  <c r="I162" i="9"/>
  <c r="K162" i="9"/>
  <c r="K35" i="9"/>
  <c r="K156" i="9"/>
  <c r="K155" i="9"/>
  <c r="K142" i="9"/>
  <c r="K215" i="9"/>
  <c r="K234" i="9"/>
  <c r="L50" i="9"/>
  <c r="I80" i="9"/>
  <c r="I228" i="9"/>
  <c r="I237" i="9"/>
  <c r="I229" i="9"/>
  <c r="I227" i="9"/>
  <c r="I215" i="9"/>
  <c r="I127" i="9"/>
  <c r="I123" i="9"/>
  <c r="K50" i="9"/>
  <c r="L101" i="9"/>
  <c r="L125" i="9"/>
  <c r="I104" i="9"/>
  <c r="K69" i="9"/>
  <c r="K143" i="9"/>
  <c r="K95" i="9"/>
  <c r="K130" i="9"/>
  <c r="K80" i="9"/>
  <c r="K159" i="9"/>
  <c r="K183" i="9"/>
  <c r="K135" i="9"/>
  <c r="K188" i="9"/>
  <c r="K114" i="9"/>
  <c r="K201" i="9"/>
  <c r="K126" i="9"/>
  <c r="K27" i="9"/>
  <c r="K212" i="9"/>
  <c r="K160" i="9"/>
  <c r="I210" i="9"/>
  <c r="I143" i="9"/>
  <c r="K129" i="9"/>
  <c r="K24" i="9"/>
  <c r="K25" i="9"/>
  <c r="K77" i="9"/>
  <c r="K2" i="9"/>
  <c r="I150" i="9"/>
  <c r="K150" i="9"/>
  <c r="K81" i="9"/>
  <c r="K12" i="9"/>
  <c r="K210" i="9"/>
  <c r="K56" i="9"/>
  <c r="K144" i="9"/>
  <c r="K131" i="9"/>
  <c r="K98" i="9"/>
  <c r="K223" i="9"/>
  <c r="K231" i="9"/>
  <c r="K209" i="9"/>
  <c r="K228" i="9"/>
  <c r="K123" i="9"/>
  <c r="K195" i="9"/>
  <c r="K99" i="9"/>
  <c r="K113" i="9"/>
  <c r="K93" i="9"/>
  <c r="L240" i="1"/>
  <c r="I231" i="9"/>
  <c r="H9" i="2"/>
  <c r="H5" i="2"/>
  <c r="H6" i="2"/>
  <c r="H7" i="2"/>
  <c r="H8" i="2"/>
  <c r="H10" i="2"/>
  <c r="H11" i="2"/>
  <c r="H12" i="2"/>
  <c r="H13" i="2"/>
  <c r="H4" i="2"/>
  <c r="I107" i="9"/>
  <c r="I106" i="9"/>
  <c r="I105" i="9"/>
  <c r="I84" i="9"/>
  <c r="I203" i="9"/>
  <c r="K3" i="9"/>
  <c r="I214" i="9"/>
  <c r="K214" i="9"/>
  <c r="K108" i="9"/>
  <c r="K205" i="9"/>
  <c r="K204" i="9"/>
  <c r="I205" i="9"/>
  <c r="I204" i="9"/>
  <c r="I108" i="9"/>
  <c r="J53" i="9"/>
  <c r="I226" i="9"/>
  <c r="K121" i="9"/>
  <c r="K100" i="9"/>
  <c r="K14" i="9"/>
  <c r="K5" i="9"/>
  <c r="I53" i="9"/>
  <c r="I83" i="9"/>
  <c r="I82" i="9"/>
  <c r="I92" i="9"/>
  <c r="I98" i="9"/>
  <c r="I114" i="9"/>
  <c r="I117" i="9"/>
  <c r="I121" i="9"/>
  <c r="I130" i="9"/>
  <c r="I131" i="9"/>
  <c r="I140" i="9"/>
  <c r="I141" i="9"/>
  <c r="I178" i="9"/>
  <c r="I188" i="9"/>
  <c r="I189" i="9"/>
  <c r="I196" i="9"/>
  <c r="K200" i="9"/>
  <c r="I200" i="9"/>
  <c r="I201" i="9"/>
  <c r="I202" i="9"/>
  <c r="I236" i="9"/>
  <c r="I233" i="9"/>
  <c r="I232" i="9"/>
  <c r="I230" i="9"/>
  <c r="I225" i="9"/>
  <c r="I224" i="9"/>
  <c r="I223" i="9"/>
  <c r="K218" i="9"/>
  <c r="K217" i="9"/>
  <c r="I211" i="9"/>
  <c r="K211" i="9"/>
  <c r="I209" i="9"/>
  <c r="K194" i="9"/>
  <c r="K152" i="9"/>
  <c r="K101" i="9"/>
  <c r="K145" i="9"/>
  <c r="K37" i="9"/>
  <c r="K51" i="9"/>
  <c r="K213" i="9"/>
  <c r="K165" i="9"/>
  <c r="L56" i="9"/>
  <c r="I94" i="9"/>
  <c r="I74" i="9"/>
  <c r="J63" i="9"/>
  <c r="I132" i="9"/>
  <c r="I151" i="9"/>
  <c r="I212" i="9"/>
  <c r="K235" i="9"/>
  <c r="K78" i="9"/>
  <c r="I29" i="9"/>
  <c r="K33" i="9"/>
  <c r="K10" i="9"/>
  <c r="K202" i="9"/>
  <c r="K71" i="9"/>
  <c r="I57" i="9"/>
  <c r="I156" i="9"/>
  <c r="I155" i="9"/>
  <c r="I35" i="9"/>
  <c r="K225" i="9"/>
  <c r="K39" i="9"/>
  <c r="K193" i="9"/>
  <c r="I101" i="9"/>
  <c r="K41" i="9"/>
  <c r="I99" i="9"/>
  <c r="K28" i="9"/>
  <c r="K31" i="9"/>
  <c r="I97" i="9"/>
  <c r="K97" i="9"/>
  <c r="I116" i="9"/>
  <c r="K38" i="9"/>
  <c r="I38" i="9"/>
  <c r="I161" i="9"/>
  <c r="K161" i="9"/>
  <c r="J19" i="5"/>
  <c r="D23" i="5"/>
  <c r="K88" i="9"/>
  <c r="K179" i="9"/>
  <c r="K76" i="9"/>
  <c r="K11" i="9"/>
  <c r="K133" i="9"/>
  <c r="I34" i="9"/>
  <c r="K222" i="9"/>
  <c r="I222" i="9"/>
  <c r="J223" i="9"/>
  <c r="J59" i="9"/>
  <c r="K197" i="9"/>
  <c r="I26" i="9"/>
  <c r="K6" i="9"/>
  <c r="K169" i="9"/>
  <c r="K236" i="9"/>
  <c r="K198" i="9"/>
  <c r="K233" i="9"/>
  <c r="K96" i="9"/>
  <c r="A61" i="6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J19" i="6"/>
  <c r="D109" i="6"/>
  <c r="E62" i="5"/>
  <c r="E61" i="5"/>
  <c r="A60" i="5"/>
  <c r="D16" i="5"/>
  <c r="G16" i="5" s="1"/>
  <c r="E117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" i="5"/>
  <c r="A7" i="5"/>
  <c r="A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5" i="5"/>
  <c r="E117" i="5"/>
  <c r="E111" i="5"/>
  <c r="G60" i="5"/>
  <c r="G12" i="5"/>
  <c r="G45" i="5"/>
  <c r="G46" i="5"/>
  <c r="G47" i="5"/>
  <c r="G13" i="5"/>
  <c r="G48" i="5"/>
  <c r="G49" i="5"/>
  <c r="G50" i="5"/>
  <c r="G51" i="5"/>
  <c r="G52" i="5"/>
  <c r="G53" i="5"/>
  <c r="G54" i="5"/>
  <c r="G14" i="5"/>
  <c r="G5" i="5"/>
  <c r="G15" i="5"/>
  <c r="G55" i="5"/>
  <c r="G32" i="5"/>
  <c r="G6" i="5"/>
  <c r="G7" i="5"/>
  <c r="G17" i="5"/>
  <c r="G18" i="5"/>
  <c r="G8" i="5"/>
  <c r="G33" i="5"/>
  <c r="G19" i="5"/>
  <c r="G34" i="5"/>
  <c r="G35" i="5"/>
  <c r="G20" i="5"/>
  <c r="G36" i="5"/>
  <c r="G56" i="5"/>
  <c r="G21" i="5"/>
  <c r="G22" i="5"/>
  <c r="G23" i="5"/>
  <c r="G24" i="5"/>
  <c r="G25" i="5"/>
  <c r="G26" i="5"/>
  <c r="G4" i="5"/>
  <c r="G37" i="5"/>
  <c r="G38" i="5"/>
  <c r="G39" i="5"/>
  <c r="G58" i="5"/>
  <c r="G59" i="5"/>
  <c r="G57" i="5"/>
  <c r="G40" i="5"/>
  <c r="G27" i="5"/>
  <c r="G28" i="5"/>
  <c r="G29" i="5"/>
  <c r="G9" i="5"/>
  <c r="G10" i="5"/>
  <c r="G41" i="5"/>
  <c r="G11" i="5"/>
  <c r="G42" i="5"/>
  <c r="G30" i="5"/>
  <c r="G43" i="5"/>
  <c r="G31" i="5"/>
  <c r="G44" i="5"/>
  <c r="K1" i="5"/>
  <c r="E12" i="5" s="1"/>
  <c r="J5" i="5"/>
  <c r="F109" i="5"/>
  <c r="K182" i="9"/>
  <c r="K15" i="9"/>
  <c r="H14" i="2" l="1"/>
  <c r="L107" i="9"/>
  <c r="L108" i="9"/>
  <c r="L106" i="9"/>
  <c r="L105" i="9"/>
  <c r="L84" i="9"/>
  <c r="L204" i="9"/>
  <c r="L205" i="9"/>
  <c r="L57" i="9"/>
  <c r="L35" i="9"/>
  <c r="E119" i="6"/>
  <c r="L114" i="9"/>
  <c r="D109" i="5"/>
  <c r="K4" i="5" s="1"/>
  <c r="K4" i="6"/>
  <c r="K20" i="6" s="1"/>
  <c r="E60" i="5"/>
  <c r="G109" i="5"/>
  <c r="E44" i="5"/>
  <c r="E11" i="5"/>
  <c r="E28" i="5"/>
  <c r="E39" i="5"/>
  <c r="E25" i="5"/>
  <c r="E56" i="5"/>
  <c r="E33" i="5"/>
  <c r="E6" i="5"/>
  <c r="E5" i="5"/>
  <c r="E50" i="5"/>
  <c r="E46" i="5"/>
  <c r="E29" i="5"/>
  <c r="E26" i="5"/>
  <c r="E34" i="5"/>
  <c r="E15" i="5"/>
  <c r="E47" i="5"/>
  <c r="E31" i="5"/>
  <c r="E41" i="5"/>
  <c r="E40" i="5"/>
  <c r="E38" i="5"/>
  <c r="E24" i="5"/>
  <c r="E20" i="5"/>
  <c r="E8" i="5"/>
  <c r="E32" i="5"/>
  <c r="E54" i="5"/>
  <c r="E49" i="5"/>
  <c r="E45" i="5"/>
  <c r="E42" i="5"/>
  <c r="E59" i="5"/>
  <c r="E21" i="5"/>
  <c r="E7" i="5"/>
  <c r="E52" i="5"/>
  <c r="E43" i="5"/>
  <c r="E9" i="5"/>
  <c r="E57" i="5"/>
  <c r="E37" i="5"/>
  <c r="E22" i="5"/>
  <c r="E35" i="5"/>
  <c r="E18" i="5"/>
  <c r="E16" i="5"/>
  <c r="E53" i="5"/>
  <c r="E48" i="5"/>
  <c r="E4" i="5"/>
  <c r="E30" i="5"/>
  <c r="E10" i="5"/>
  <c r="E27" i="5"/>
  <c r="E58" i="5"/>
  <c r="E23" i="5"/>
  <c r="E36" i="5"/>
  <c r="E19" i="5"/>
  <c r="E17" i="5"/>
  <c r="E55" i="5"/>
  <c r="E14" i="5"/>
  <c r="E51" i="5"/>
  <c r="E13" i="5"/>
  <c r="F155" i="5"/>
  <c r="I234" i="9"/>
  <c r="I221" i="9"/>
  <c r="K13" i="9"/>
  <c r="J3" i="9"/>
  <c r="J4" i="9"/>
  <c r="J5" i="9"/>
  <c r="J6" i="9"/>
  <c r="J7" i="9"/>
  <c r="J8" i="9"/>
  <c r="J9" i="9"/>
  <c r="J10" i="9"/>
  <c r="L10" i="9" s="1"/>
  <c r="J11" i="9"/>
  <c r="L11" i="9" s="1"/>
  <c r="J12" i="9"/>
  <c r="J13" i="9"/>
  <c r="J14" i="9"/>
  <c r="J15" i="9"/>
  <c r="J16" i="9"/>
  <c r="L16" i="9" s="1"/>
  <c r="J17" i="9"/>
  <c r="J18" i="9"/>
  <c r="L18" i="9" s="1"/>
  <c r="J19" i="9"/>
  <c r="J20" i="9"/>
  <c r="L20" i="9" s="1"/>
  <c r="J21" i="9"/>
  <c r="L21" i="9" s="1"/>
  <c r="J22" i="9"/>
  <c r="J23" i="9"/>
  <c r="J26" i="9"/>
  <c r="J27" i="9"/>
  <c r="J29" i="9"/>
  <c r="J31" i="9"/>
  <c r="J32" i="9"/>
  <c r="J33" i="9"/>
  <c r="J34" i="9"/>
  <c r="J45" i="9"/>
  <c r="L45" i="9" s="1"/>
  <c r="J51" i="9"/>
  <c r="J54" i="9"/>
  <c r="J60" i="9"/>
  <c r="J61" i="9"/>
  <c r="L61" i="9" s="1"/>
  <c r="J62" i="9"/>
  <c r="J64" i="9"/>
  <c r="J65" i="9"/>
  <c r="L65" i="9" s="1"/>
  <c r="J66" i="9"/>
  <c r="L66" i="9" s="1"/>
  <c r="J67" i="9"/>
  <c r="J68" i="9"/>
  <c r="L68" i="9" s="1"/>
  <c r="J69" i="9"/>
  <c r="J70" i="9"/>
  <c r="L70" i="9" s="1"/>
  <c r="J71" i="9"/>
  <c r="J72" i="9"/>
  <c r="J74" i="9"/>
  <c r="J76" i="9"/>
  <c r="J77" i="9"/>
  <c r="J78" i="9"/>
  <c r="J79" i="9"/>
  <c r="J80" i="9"/>
  <c r="J81" i="9"/>
  <c r="J82" i="9"/>
  <c r="J83" i="9"/>
  <c r="J55" i="9"/>
  <c r="L55" i="9" s="1"/>
  <c r="J85" i="9"/>
  <c r="L85" i="9" s="1"/>
  <c r="J86" i="9"/>
  <c r="J91" i="9"/>
  <c r="L91" i="9" s="1"/>
  <c r="J96" i="9"/>
  <c r="J99" i="9"/>
  <c r="J101" i="9"/>
  <c r="J102" i="9"/>
  <c r="J103" i="9"/>
  <c r="L103" i="9" s="1"/>
  <c r="J104" i="9"/>
  <c r="L104" i="9" s="1"/>
  <c r="J110" i="9"/>
  <c r="L110" i="9" s="1"/>
  <c r="J115" i="9"/>
  <c r="L115" i="9" s="1"/>
  <c r="J119" i="9"/>
  <c r="L119" i="9" s="1"/>
  <c r="J124" i="9"/>
  <c r="L124" i="9" s="1"/>
  <c r="J125" i="9"/>
  <c r="J126" i="9"/>
  <c r="J128" i="9"/>
  <c r="J129" i="9"/>
  <c r="J132" i="9"/>
  <c r="J133" i="9"/>
  <c r="J134" i="9"/>
  <c r="J135" i="9"/>
  <c r="J136" i="9"/>
  <c r="L136" i="9" s="1"/>
  <c r="J137" i="9"/>
  <c r="J138" i="9"/>
  <c r="L138" i="9" s="1"/>
  <c r="J139" i="9"/>
  <c r="L139" i="9" s="1"/>
  <c r="J140" i="9"/>
  <c r="J141" i="9"/>
  <c r="J143" i="9"/>
  <c r="J144" i="9"/>
  <c r="J145" i="9"/>
  <c r="J146" i="9"/>
  <c r="J147" i="9"/>
  <c r="J148" i="9"/>
  <c r="J149" i="9"/>
  <c r="J150" i="9"/>
  <c r="J151" i="9"/>
  <c r="J152" i="9"/>
  <c r="J153" i="9"/>
  <c r="J157" i="9"/>
  <c r="J163" i="9"/>
  <c r="L163" i="9" s="1"/>
  <c r="J164" i="9"/>
  <c r="L164" i="9" s="1"/>
  <c r="J165" i="9"/>
  <c r="J167" i="9"/>
  <c r="J168" i="9"/>
  <c r="J170" i="9"/>
  <c r="L170" i="9" s="1"/>
  <c r="J171" i="9"/>
  <c r="L171" i="9" s="1"/>
  <c r="J172" i="9"/>
  <c r="L172" i="9" s="1"/>
  <c r="J173" i="9"/>
  <c r="L173" i="9" s="1"/>
  <c r="J174" i="9"/>
  <c r="L174" i="9" s="1"/>
  <c r="J175" i="9"/>
  <c r="L175" i="9" s="1"/>
  <c r="J176" i="9"/>
  <c r="L176" i="9" s="1"/>
  <c r="J177" i="9"/>
  <c r="L177" i="9" s="1"/>
  <c r="J181" i="9"/>
  <c r="J182" i="9"/>
  <c r="J185" i="9"/>
  <c r="J186" i="9"/>
  <c r="L186" i="9" s="1"/>
  <c r="J187" i="9"/>
  <c r="J189" i="9"/>
  <c r="J190" i="9"/>
  <c r="L190" i="9" s="1"/>
  <c r="J191" i="9"/>
  <c r="J192" i="9"/>
  <c r="J193" i="9"/>
  <c r="J197" i="9"/>
  <c r="J200" i="9"/>
  <c r="J201" i="9"/>
  <c r="J202" i="9"/>
  <c r="J203" i="9"/>
  <c r="L203" i="9" s="1"/>
  <c r="J206" i="9"/>
  <c r="J207" i="9"/>
  <c r="J211" i="9"/>
  <c r="J212" i="9"/>
  <c r="J213" i="9"/>
  <c r="L213" i="9" s="1"/>
  <c r="J216" i="9"/>
  <c r="J217" i="9"/>
  <c r="L217" i="9" s="1"/>
  <c r="J218" i="9"/>
  <c r="L218" i="9" s="1"/>
  <c r="J219" i="9"/>
  <c r="L219" i="9" s="1"/>
  <c r="J220" i="9"/>
  <c r="L220" i="9" s="1"/>
  <c r="J221" i="9"/>
  <c r="J224" i="9"/>
  <c r="J227" i="9"/>
  <c r="J228" i="9"/>
  <c r="J229" i="9"/>
  <c r="L229" i="9" s="1"/>
  <c r="J233" i="9"/>
  <c r="J235" i="9"/>
  <c r="J236" i="9"/>
  <c r="J237" i="9"/>
  <c r="J2" i="9"/>
  <c r="L224" i="9"/>
  <c r="L216" i="9"/>
  <c r="L212" i="9"/>
  <c r="L211" i="9"/>
  <c r="I208" i="9"/>
  <c r="L202" i="9"/>
  <c r="I199" i="9"/>
  <c r="I198" i="9"/>
  <c r="I197" i="9"/>
  <c r="I195" i="9"/>
  <c r="I194" i="9"/>
  <c r="I184" i="9"/>
  <c r="I182" i="9"/>
  <c r="I181" i="9"/>
  <c r="I180" i="9"/>
  <c r="I179" i="9"/>
  <c r="I169" i="9"/>
  <c r="I168" i="9"/>
  <c r="I167" i="9"/>
  <c r="I165" i="9"/>
  <c r="I160" i="9"/>
  <c r="I159" i="9"/>
  <c r="I158" i="9"/>
  <c r="I142" i="9"/>
  <c r="I129" i="9"/>
  <c r="I128" i="9"/>
  <c r="I126" i="9"/>
  <c r="I122" i="9"/>
  <c r="I120" i="9"/>
  <c r="I113" i="9"/>
  <c r="I112" i="9"/>
  <c r="I111" i="9"/>
  <c r="I100" i="9"/>
  <c r="I96" i="9"/>
  <c r="I95" i="9"/>
  <c r="I93" i="9"/>
  <c r="I90" i="9"/>
  <c r="I89" i="9"/>
  <c r="I88" i="9"/>
  <c r="I87" i="9"/>
  <c r="I78" i="9"/>
  <c r="I77" i="9"/>
  <c r="I76" i="9"/>
  <c r="I75" i="9"/>
  <c r="I73" i="9"/>
  <c r="I72" i="9"/>
  <c r="I71" i="9"/>
  <c r="I69" i="9"/>
  <c r="I64" i="9"/>
  <c r="I63" i="9"/>
  <c r="I62" i="9"/>
  <c r="I59" i="9"/>
  <c r="L59" i="9" s="1"/>
  <c r="L53" i="9"/>
  <c r="I52" i="9"/>
  <c r="L52" i="9" s="1"/>
  <c r="I51" i="9"/>
  <c r="I50" i="9"/>
  <c r="I48" i="9"/>
  <c r="I47" i="9"/>
  <c r="I46" i="9"/>
  <c r="I44" i="9"/>
  <c r="I43" i="9"/>
  <c r="L42" i="9"/>
  <c r="I41" i="9"/>
  <c r="I40" i="9"/>
  <c r="I39" i="9"/>
  <c r="I37" i="9"/>
  <c r="I36" i="9"/>
  <c r="L34" i="9"/>
  <c r="I33" i="9"/>
  <c r="I32" i="9"/>
  <c r="I31" i="9"/>
  <c r="L31" i="9" s="1"/>
  <c r="L30" i="9"/>
  <c r="I28" i="9"/>
  <c r="I27" i="9"/>
  <c r="L26" i="9"/>
  <c r="I25" i="9"/>
  <c r="I24" i="9"/>
  <c r="I23" i="9"/>
  <c r="L23" i="9" s="1"/>
  <c r="I22" i="9"/>
  <c r="I14" i="9"/>
  <c r="I13" i="9"/>
  <c r="I12" i="9"/>
  <c r="I7" i="9"/>
  <c r="I6" i="9"/>
  <c r="K184" i="1"/>
  <c r="K232" i="1"/>
  <c r="K29" i="1"/>
  <c r="K237" i="1"/>
  <c r="K47" i="1"/>
  <c r="K229" i="1"/>
  <c r="K227" i="1"/>
  <c r="K113" i="1"/>
  <c r="K7" i="1"/>
  <c r="K45" i="1"/>
  <c r="K56" i="1"/>
  <c r="K141" i="1"/>
  <c r="K63" i="1"/>
  <c r="K192" i="1"/>
  <c r="K236" i="1"/>
  <c r="K99" i="1"/>
  <c r="K14" i="1"/>
  <c r="K233" i="1"/>
  <c r="K201" i="1"/>
  <c r="K15" i="1"/>
  <c r="K104" i="1"/>
  <c r="K152" i="1"/>
  <c r="L54" i="9" l="1"/>
  <c r="L51" i="9"/>
  <c r="L17" i="9"/>
  <c r="L12" i="9"/>
  <c r="L8" i="9"/>
  <c r="L19" i="9"/>
  <c r="L13" i="9"/>
  <c r="L9" i="9"/>
  <c r="L60" i="9"/>
  <c r="L237" i="9"/>
  <c r="L67" i="9"/>
  <c r="L64" i="9"/>
  <c r="L63" i="9"/>
  <c r="L29" i="9"/>
  <c r="L221" i="9"/>
  <c r="K20" i="5"/>
  <c r="E119" i="5"/>
  <c r="D155" i="5"/>
  <c r="E109" i="5"/>
  <c r="E155" i="5" s="1"/>
  <c r="L14" i="9"/>
  <c r="L27" i="9"/>
  <c r="L201" i="9"/>
  <c r="L22" i="9"/>
  <c r="L33" i="9"/>
  <c r="L62" i="9"/>
  <c r="L200" i="9"/>
  <c r="L228" i="9"/>
  <c r="L222" i="9"/>
  <c r="L227" i="9"/>
  <c r="L236" i="9"/>
  <c r="L233" i="9"/>
  <c r="L235" i="9"/>
  <c r="L15" i="9"/>
  <c r="L197" i="9"/>
  <c r="L194" i="9"/>
  <c r="L193" i="9"/>
  <c r="L192" i="9"/>
  <c r="L191" i="9"/>
  <c r="L189" i="9"/>
  <c r="L187" i="9"/>
  <c r="L185" i="9"/>
  <c r="L182" i="9"/>
  <c r="L181" i="9"/>
  <c r="L168" i="9"/>
  <c r="L167" i="9"/>
  <c r="L166" i="9"/>
  <c r="L165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1" i="9"/>
  <c r="N143" i="9" s="1"/>
  <c r="L140" i="9"/>
  <c r="L135" i="9"/>
  <c r="L134" i="9"/>
  <c r="L133" i="9"/>
  <c r="L132" i="9"/>
  <c r="L129" i="9"/>
  <c r="L128" i="9"/>
  <c r="L126" i="9"/>
  <c r="L122" i="9"/>
  <c r="L112" i="9"/>
  <c r="L102" i="9"/>
  <c r="L99" i="9"/>
  <c r="L96" i="9"/>
  <c r="L83" i="9"/>
  <c r="L82" i="9"/>
  <c r="L81" i="9"/>
  <c r="L79" i="9"/>
  <c r="L78" i="9"/>
  <c r="L77" i="9"/>
  <c r="L76" i="9"/>
  <c r="L74" i="9"/>
  <c r="L72" i="9"/>
  <c r="L71" i="9"/>
  <c r="L69" i="9"/>
  <c r="L2" i="9"/>
  <c r="L32" i="9"/>
  <c r="N64" i="9"/>
  <c r="I239" i="9"/>
  <c r="K239" i="9"/>
  <c r="K181" i="1"/>
  <c r="K30" i="1"/>
  <c r="K101" i="1"/>
  <c r="K25" i="1"/>
  <c r="K9" i="1"/>
  <c r="K8" i="1"/>
  <c r="K114" i="1"/>
  <c r="K58" i="1"/>
  <c r="K188" i="1"/>
  <c r="N71" i="9" l="1"/>
  <c r="K24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" i="4"/>
  <c r="K3" i="4"/>
  <c r="K69" i="1"/>
  <c r="K12" i="1"/>
  <c r="D30" i="4" l="1"/>
  <c r="I188" i="1" l="1"/>
  <c r="K52" i="1"/>
  <c r="K200" i="1"/>
  <c r="K228" i="1"/>
  <c r="K205" i="1"/>
  <c r="K169" i="1"/>
  <c r="K112" i="1"/>
  <c r="K196" i="1"/>
  <c r="K195" i="1"/>
  <c r="K197" i="1"/>
  <c r="K203" i="1"/>
  <c r="I203" i="1"/>
  <c r="I14" i="1"/>
  <c r="K44" i="1" l="1"/>
  <c r="K93" i="1"/>
  <c r="K223" i="1"/>
  <c r="K207" i="1"/>
  <c r="K171" i="1"/>
  <c r="K16" i="1"/>
  <c r="K73" i="1"/>
  <c r="K54" i="1"/>
  <c r="K159" i="1"/>
  <c r="K158" i="1"/>
  <c r="K225" i="1"/>
  <c r="K126" i="1"/>
  <c r="K128" i="1"/>
  <c r="K51" i="1"/>
  <c r="K23" i="1"/>
  <c r="K105" i="1"/>
  <c r="K34" i="1"/>
  <c r="K135" i="1"/>
  <c r="K107" i="1"/>
  <c r="K4" i="1"/>
  <c r="K156" i="1" l="1"/>
  <c r="K79" i="1"/>
  <c r="K142" i="1"/>
  <c r="K41" i="1"/>
  <c r="K62" i="1"/>
  <c r="K153" i="1"/>
  <c r="K78" i="1"/>
  <c r="K148" i="1"/>
  <c r="K120" i="1"/>
  <c r="K190" i="1"/>
  <c r="K83" i="1"/>
  <c r="K147" i="1"/>
  <c r="K238" i="1"/>
  <c r="K162" i="1"/>
  <c r="K130" i="1"/>
  <c r="K85" i="1"/>
  <c r="K129" i="1"/>
  <c r="K74" i="1"/>
  <c r="K98" i="1"/>
  <c r="K157" i="1"/>
  <c r="K150" i="1"/>
  <c r="K72" i="1"/>
  <c r="K26" i="1"/>
  <c r="K59" i="1"/>
  <c r="K82" i="1"/>
  <c r="K131" i="1"/>
  <c r="K102" i="1"/>
  <c r="K2" i="1"/>
  <c r="K61" i="1"/>
  <c r="K92" i="1"/>
  <c r="K103" i="1"/>
  <c r="K84" i="1"/>
  <c r="G17" i="3"/>
  <c r="F17" i="3"/>
  <c r="D24" i="3"/>
  <c r="D22" i="3"/>
  <c r="D17" i="3"/>
  <c r="C17" i="3"/>
  <c r="D7" i="3"/>
  <c r="I7" i="3"/>
  <c r="J7" i="3"/>
  <c r="H2" i="3"/>
  <c r="H3" i="3"/>
  <c r="H4" i="3"/>
  <c r="H7" i="3" s="1"/>
  <c r="H9" i="3" s="1"/>
  <c r="H5" i="3"/>
  <c r="C14" i="3"/>
  <c r="C10" i="3"/>
  <c r="C11" i="3"/>
  <c r="C12" i="3"/>
  <c r="C9" i="3"/>
  <c r="J3" i="3"/>
  <c r="J4" i="3"/>
  <c r="J5" i="3"/>
  <c r="J2" i="3"/>
  <c r="I3" i="3"/>
  <c r="I4" i="3"/>
  <c r="I5" i="3"/>
  <c r="I2" i="3"/>
  <c r="G3" i="3"/>
  <c r="G4" i="3"/>
  <c r="G5" i="3"/>
  <c r="G2" i="3"/>
  <c r="D5" i="3"/>
  <c r="D4" i="3"/>
  <c r="D3" i="3"/>
  <c r="D2" i="3"/>
  <c r="I152" i="1" l="1"/>
  <c r="I153" i="1"/>
  <c r="K27" i="1"/>
  <c r="I114" i="1"/>
  <c r="K185" i="1" l="1"/>
  <c r="K127" i="1"/>
  <c r="K198" i="1"/>
  <c r="G14" i="2"/>
  <c r="F14" i="2"/>
  <c r="D14" i="2"/>
  <c r="C14" i="2"/>
  <c r="B14" i="2"/>
  <c r="D13" i="2"/>
  <c r="D12" i="2"/>
  <c r="D11" i="2"/>
  <c r="D10" i="2"/>
  <c r="D9" i="2"/>
  <c r="D8" i="2"/>
  <c r="D7" i="2"/>
  <c r="D6" i="2"/>
  <c r="D5" i="2"/>
  <c r="D4" i="2"/>
  <c r="J240" i="1"/>
  <c r="L238" i="1"/>
  <c r="I237" i="1"/>
  <c r="L237" i="1" s="1"/>
  <c r="I236" i="1"/>
  <c r="K235" i="1"/>
  <c r="I235" i="1"/>
  <c r="L235" i="1" s="1"/>
  <c r="K234" i="1"/>
  <c r="I234" i="1"/>
  <c r="I233" i="1"/>
  <c r="L233" i="1" s="1"/>
  <c r="J231" i="9" s="1"/>
  <c r="L231" i="9" s="1"/>
  <c r="I232" i="1"/>
  <c r="L231" i="1"/>
  <c r="K230" i="1"/>
  <c r="I230" i="1"/>
  <c r="L230" i="1" s="1"/>
  <c r="I229" i="1"/>
  <c r="L229" i="1" s="1"/>
  <c r="I228" i="1"/>
  <c r="I227" i="1"/>
  <c r="L226" i="1"/>
  <c r="I225" i="1"/>
  <c r="L225" i="1" s="1"/>
  <c r="L223" i="9" s="1"/>
  <c r="L224" i="1"/>
  <c r="K224" i="1"/>
  <c r="I223" i="1"/>
  <c r="L223" i="1" s="1"/>
  <c r="L222" i="1"/>
  <c r="L221" i="1"/>
  <c r="L220" i="1"/>
  <c r="L219" i="1"/>
  <c r="L218" i="1"/>
  <c r="K217" i="1"/>
  <c r="I217" i="1"/>
  <c r="L217" i="1" s="1"/>
  <c r="J215" i="9" s="1"/>
  <c r="L215" i="9" s="1"/>
  <c r="K216" i="1"/>
  <c r="I216" i="1"/>
  <c r="K215" i="1"/>
  <c r="L215" i="1" s="1"/>
  <c r="L214" i="1"/>
  <c r="L213" i="1"/>
  <c r="K213" i="1"/>
  <c r="I212" i="1"/>
  <c r="L212" i="1" s="1"/>
  <c r="K211" i="1"/>
  <c r="I211" i="1"/>
  <c r="I210" i="1"/>
  <c r="L210" i="1" s="1"/>
  <c r="J208" i="9" s="1"/>
  <c r="L208" i="9" s="1"/>
  <c r="L207" i="1"/>
  <c r="L206" i="1"/>
  <c r="K206" i="1"/>
  <c r="L205" i="1"/>
  <c r="L204" i="1"/>
  <c r="K204" i="1"/>
  <c r="I204" i="1"/>
  <c r="L203" i="1"/>
  <c r="K202" i="1"/>
  <c r="I202" i="1"/>
  <c r="L202" i="1" s="1"/>
  <c r="J199" i="9" s="1"/>
  <c r="L199" i="9" s="1"/>
  <c r="I201" i="1"/>
  <c r="L201" i="1" s="1"/>
  <c r="J198" i="9" s="1"/>
  <c r="L198" i="9" s="1"/>
  <c r="I200" i="1"/>
  <c r="L200" i="1" s="1"/>
  <c r="K199" i="1"/>
  <c r="I199" i="1"/>
  <c r="L199" i="1" s="1"/>
  <c r="J196" i="9" s="1"/>
  <c r="L196" i="9" s="1"/>
  <c r="I198" i="1"/>
  <c r="I197" i="1"/>
  <c r="L197" i="1" s="1"/>
  <c r="L196" i="1"/>
  <c r="L195" i="1"/>
  <c r="L194" i="1"/>
  <c r="K194" i="1"/>
  <c r="L193" i="1"/>
  <c r="I192" i="1"/>
  <c r="L192" i="1" s="1"/>
  <c r="K191" i="1"/>
  <c r="I191" i="1"/>
  <c r="L191" i="1" s="1"/>
  <c r="J188" i="9" s="1"/>
  <c r="L188" i="9" s="1"/>
  <c r="L190" i="1"/>
  <c r="L189" i="1"/>
  <c r="L188" i="1"/>
  <c r="I187" i="1"/>
  <c r="L187" i="1" s="1"/>
  <c r="J184" i="9" s="1"/>
  <c r="L184" i="9" s="1"/>
  <c r="I186" i="1"/>
  <c r="L186" i="1" s="1"/>
  <c r="J183" i="9" s="1"/>
  <c r="L183" i="9" s="1"/>
  <c r="I185" i="1"/>
  <c r="L185" i="1" s="1"/>
  <c r="I184" i="1"/>
  <c r="L184" i="1" s="1"/>
  <c r="K183" i="1"/>
  <c r="I183" i="1"/>
  <c r="K182" i="1"/>
  <c r="I182" i="1"/>
  <c r="L182" i="1" s="1"/>
  <c r="J179" i="9" s="1"/>
  <c r="L179" i="9" s="1"/>
  <c r="I181" i="1"/>
  <c r="L181" i="1" s="1"/>
  <c r="J178" i="9" s="1"/>
  <c r="L178" i="9" s="1"/>
  <c r="L180" i="1"/>
  <c r="L179" i="1"/>
  <c r="L178" i="1"/>
  <c r="L177" i="1"/>
  <c r="L176" i="1"/>
  <c r="L175" i="1"/>
  <c r="L174" i="1"/>
  <c r="L173" i="1"/>
  <c r="K172" i="1"/>
  <c r="I172" i="1"/>
  <c r="L172" i="1" s="1"/>
  <c r="J169" i="9" s="1"/>
  <c r="L169" i="9" s="1"/>
  <c r="I171" i="1"/>
  <c r="L171" i="1" s="1"/>
  <c r="K170" i="1"/>
  <c r="I170" i="1"/>
  <c r="L170" i="1" s="1"/>
  <c r="L169" i="1"/>
  <c r="K168" i="1"/>
  <c r="I168" i="1"/>
  <c r="L168" i="1" s="1"/>
  <c r="L167" i="1"/>
  <c r="L166" i="1"/>
  <c r="K165" i="1"/>
  <c r="I165" i="1"/>
  <c r="K164" i="1"/>
  <c r="I164" i="1"/>
  <c r="K163" i="1"/>
  <c r="I163" i="1"/>
  <c r="I162" i="1"/>
  <c r="I161" i="1"/>
  <c r="L161" i="1" s="1"/>
  <c r="J158" i="9" s="1"/>
  <c r="L158" i="9" s="1"/>
  <c r="L159" i="1"/>
  <c r="L158" i="1"/>
  <c r="L157" i="1"/>
  <c r="L156" i="1"/>
  <c r="K155" i="1"/>
  <c r="L155" i="1" s="1"/>
  <c r="K154" i="1"/>
  <c r="I154" i="1"/>
  <c r="L154" i="1" s="1"/>
  <c r="L153" i="1"/>
  <c r="L152" i="1"/>
  <c r="L151" i="1"/>
  <c r="K151" i="1"/>
  <c r="I151" i="1"/>
  <c r="L150" i="1"/>
  <c r="K149" i="1"/>
  <c r="L149" i="1" s="1"/>
  <c r="L148" i="1"/>
  <c r="L147" i="1"/>
  <c r="K146" i="1"/>
  <c r="L146" i="1" s="1"/>
  <c r="K145" i="1"/>
  <c r="L145" i="1" s="1"/>
  <c r="L144" i="1"/>
  <c r="K144" i="1"/>
  <c r="K143" i="1"/>
  <c r="I143" i="1"/>
  <c r="L143" i="1" s="1"/>
  <c r="J142" i="9" s="1"/>
  <c r="L142" i="9" s="1"/>
  <c r="L142" i="1"/>
  <c r="N144" i="1" s="1"/>
  <c r="L141" i="1"/>
  <c r="L140" i="1"/>
  <c r="L139" i="1"/>
  <c r="L137" i="1"/>
  <c r="L136" i="1"/>
  <c r="K136" i="1"/>
  <c r="L135" i="1"/>
  <c r="L134" i="1"/>
  <c r="K133" i="1"/>
  <c r="L133" i="1" s="1"/>
  <c r="K132" i="1"/>
  <c r="L132" i="1" s="1"/>
  <c r="I132" i="1"/>
  <c r="I131" i="1"/>
  <c r="L131" i="1" s="1"/>
  <c r="J131" i="9" s="1"/>
  <c r="L131" i="9" s="1"/>
  <c r="I130" i="1"/>
  <c r="L130" i="1" s="1"/>
  <c r="J130" i="9" s="1"/>
  <c r="L130" i="9" s="1"/>
  <c r="I129" i="1"/>
  <c r="I128" i="1"/>
  <c r="L128" i="1" s="1"/>
  <c r="I127" i="1"/>
  <c r="L127" i="1" s="1"/>
  <c r="J127" i="9" s="1"/>
  <c r="I126" i="1"/>
  <c r="L126" i="1" s="1"/>
  <c r="L125" i="1"/>
  <c r="L124" i="1"/>
  <c r="K123" i="1"/>
  <c r="I123" i="1"/>
  <c r="K122" i="1"/>
  <c r="I122" i="1"/>
  <c r="K121" i="1"/>
  <c r="I121" i="1"/>
  <c r="L121" i="1" s="1"/>
  <c r="J121" i="9" s="1"/>
  <c r="L121" i="9" s="1"/>
  <c r="I120" i="1"/>
  <c r="L119" i="1"/>
  <c r="I118" i="1"/>
  <c r="L118" i="1" s="1"/>
  <c r="J118" i="9" s="1"/>
  <c r="L118" i="9" s="1"/>
  <c r="K117" i="1"/>
  <c r="I117" i="1"/>
  <c r="K116" i="1"/>
  <c r="I116" i="1"/>
  <c r="L116" i="1" s="1"/>
  <c r="L116" i="9" s="1"/>
  <c r="L115" i="1"/>
  <c r="L114" i="1"/>
  <c r="I113" i="1"/>
  <c r="L113" i="1" s="1"/>
  <c r="J113" i="9" s="1"/>
  <c r="L113" i="9" s="1"/>
  <c r="I112" i="1"/>
  <c r="L112" i="1" s="1"/>
  <c r="I111" i="1"/>
  <c r="L111" i="1" s="1"/>
  <c r="J111" i="9" s="1"/>
  <c r="L111" i="9" s="1"/>
  <c r="L110" i="1"/>
  <c r="L108" i="1"/>
  <c r="L107" i="1"/>
  <c r="K106" i="1"/>
  <c r="L106" i="1" s="1"/>
  <c r="I105" i="1"/>
  <c r="L104" i="1"/>
  <c r="I103" i="1"/>
  <c r="L103" i="1" s="1"/>
  <c r="I102" i="1"/>
  <c r="L102" i="1" s="1"/>
  <c r="J98" i="9" s="1"/>
  <c r="L98" i="9" s="1"/>
  <c r="I101" i="1"/>
  <c r="L101" i="1" s="1"/>
  <c r="K100" i="1"/>
  <c r="I100" i="1"/>
  <c r="L100" i="1" s="1"/>
  <c r="I99" i="1"/>
  <c r="L99" i="1" s="1"/>
  <c r="J95" i="9" s="1"/>
  <c r="L95" i="9" s="1"/>
  <c r="I98" i="1"/>
  <c r="L98" i="1" s="1"/>
  <c r="J94" i="9" s="1"/>
  <c r="L94" i="9" s="1"/>
  <c r="K97" i="1"/>
  <c r="I97" i="1"/>
  <c r="L97" i="1" s="1"/>
  <c r="J93" i="9" s="1"/>
  <c r="L93" i="9" s="1"/>
  <c r="K96" i="1"/>
  <c r="I96" i="1"/>
  <c r="L96" i="1" s="1"/>
  <c r="J92" i="9" s="1"/>
  <c r="L92" i="9" s="1"/>
  <c r="L95" i="1"/>
  <c r="K94" i="1"/>
  <c r="I94" i="1"/>
  <c r="L94" i="1" s="1"/>
  <c r="J90" i="9" s="1"/>
  <c r="L90" i="9" s="1"/>
  <c r="I93" i="1"/>
  <c r="L93" i="1" s="1"/>
  <c r="J89" i="9" s="1"/>
  <c r="L89" i="9" s="1"/>
  <c r="I92" i="1"/>
  <c r="L92" i="1" s="1"/>
  <c r="J88" i="9" s="1"/>
  <c r="L88" i="9" s="1"/>
  <c r="I91" i="1"/>
  <c r="L91" i="1" s="1"/>
  <c r="J87" i="9" s="1"/>
  <c r="L87" i="9" s="1"/>
  <c r="L89" i="1"/>
  <c r="L88" i="1"/>
  <c r="L87" i="1"/>
  <c r="K87" i="1"/>
  <c r="L86" i="1"/>
  <c r="K86" i="1"/>
  <c r="L85" i="1"/>
  <c r="I84" i="1"/>
  <c r="L84" i="1" s="1"/>
  <c r="L83" i="1"/>
  <c r="L82" i="1"/>
  <c r="K81" i="1"/>
  <c r="L81" i="1" s="1"/>
  <c r="I81" i="1"/>
  <c r="L80" i="1"/>
  <c r="K80" i="1"/>
  <c r="I80" i="1"/>
  <c r="I79" i="1"/>
  <c r="L79" i="1" s="1"/>
  <c r="L78" i="1"/>
  <c r="I78" i="1"/>
  <c r="L77" i="1"/>
  <c r="K77" i="1"/>
  <c r="I77" i="1"/>
  <c r="K76" i="1"/>
  <c r="I76" i="1"/>
  <c r="L76" i="1" s="1"/>
  <c r="K75" i="1"/>
  <c r="I75" i="1"/>
  <c r="L75" i="1" s="1"/>
  <c r="J75" i="9" s="1"/>
  <c r="L75" i="9" s="1"/>
  <c r="I74" i="1"/>
  <c r="L74" i="1" s="1"/>
  <c r="I73" i="1"/>
  <c r="L73" i="1" s="1"/>
  <c r="J73" i="9" s="1"/>
  <c r="L73" i="9" s="1"/>
  <c r="L72" i="1"/>
  <c r="I72" i="1"/>
  <c r="K71" i="1"/>
  <c r="I71" i="1"/>
  <c r="L71" i="1" s="1"/>
  <c r="L70" i="1"/>
  <c r="I69" i="1"/>
  <c r="L69" i="1" s="1"/>
  <c r="L68" i="1"/>
  <c r="K67" i="1"/>
  <c r="I67" i="1"/>
  <c r="L67" i="1" s="1"/>
  <c r="L66" i="1"/>
  <c r="L65" i="1"/>
  <c r="L64" i="1"/>
  <c r="I63" i="1"/>
  <c r="L63" i="1" s="1"/>
  <c r="L62" i="1"/>
  <c r="I62" i="1"/>
  <c r="L61" i="1"/>
  <c r="I61" i="1"/>
  <c r="L60" i="1"/>
  <c r="L59" i="1"/>
  <c r="L58" i="1"/>
  <c r="I58" i="1"/>
  <c r="L56" i="1"/>
  <c r="K55" i="1"/>
  <c r="L55" i="1" s="1"/>
  <c r="I55" i="1"/>
  <c r="I54" i="1"/>
  <c r="L54" i="1" s="1"/>
  <c r="K53" i="1"/>
  <c r="I53" i="1"/>
  <c r="L53" i="1" s="1"/>
  <c r="I52" i="1"/>
  <c r="L52" i="1" s="1"/>
  <c r="J50" i="9" s="1"/>
  <c r="I51" i="1"/>
  <c r="L51" i="1" s="1"/>
  <c r="J49" i="9" s="1"/>
  <c r="L49" i="9" s="1"/>
  <c r="K50" i="1"/>
  <c r="I50" i="1"/>
  <c r="L50" i="1" s="1"/>
  <c r="J48" i="9" s="1"/>
  <c r="L48" i="9" s="1"/>
  <c r="I49" i="1"/>
  <c r="L49" i="1" s="1"/>
  <c r="K48" i="1"/>
  <c r="I48" i="1"/>
  <c r="I47" i="1"/>
  <c r="L46" i="1"/>
  <c r="I45" i="1"/>
  <c r="L45" i="1" s="1"/>
  <c r="J44" i="9" s="1"/>
  <c r="L44" i="9" s="1"/>
  <c r="I44" i="1"/>
  <c r="L43" i="1"/>
  <c r="K42" i="1"/>
  <c r="I42" i="1"/>
  <c r="L42" i="1" s="1"/>
  <c r="J41" i="9" s="1"/>
  <c r="L41" i="9" s="1"/>
  <c r="I41" i="1"/>
  <c r="L41" i="1" s="1"/>
  <c r="J40" i="9" s="1"/>
  <c r="L40" i="9" s="1"/>
  <c r="K40" i="1"/>
  <c r="I40" i="1"/>
  <c r="L40" i="1" s="1"/>
  <c r="J39" i="9" s="1"/>
  <c r="L39" i="9" s="1"/>
  <c r="K39" i="1"/>
  <c r="I39" i="1"/>
  <c r="L39" i="1" s="1"/>
  <c r="J38" i="9" s="1"/>
  <c r="L38" i="9" s="1"/>
  <c r="K38" i="1"/>
  <c r="I38" i="1"/>
  <c r="I37" i="1"/>
  <c r="L37" i="1" s="1"/>
  <c r="J36" i="9" s="1"/>
  <c r="L36" i="9" s="1"/>
  <c r="L36" i="1"/>
  <c r="L35" i="1"/>
  <c r="K35" i="1"/>
  <c r="I35" i="1"/>
  <c r="I34" i="1"/>
  <c r="L34" i="1" s="1"/>
  <c r="K33" i="1"/>
  <c r="I33" i="1"/>
  <c r="L33" i="1" s="1"/>
  <c r="K32" i="1"/>
  <c r="L32" i="1" s="1"/>
  <c r="I32" i="1"/>
  <c r="L31" i="1"/>
  <c r="K31" i="1"/>
  <c r="I31" i="1"/>
  <c r="I30" i="1"/>
  <c r="L30" i="1" s="1"/>
  <c r="J28" i="9" s="1"/>
  <c r="L28" i="9" s="1"/>
  <c r="I29" i="1"/>
  <c r="K28" i="1"/>
  <c r="I28" i="1"/>
  <c r="I27" i="1"/>
  <c r="L27" i="1" s="1"/>
  <c r="J25" i="9" s="1"/>
  <c r="L25" i="9" s="1"/>
  <c r="I26" i="1"/>
  <c r="L26" i="1" s="1"/>
  <c r="I25" i="1"/>
  <c r="L25" i="1" s="1"/>
  <c r="J24" i="9" s="1"/>
  <c r="I24" i="1"/>
  <c r="L24" i="1" s="1"/>
  <c r="L23" i="1"/>
  <c r="I23" i="1"/>
  <c r="L22" i="1"/>
  <c r="L21" i="1"/>
  <c r="L20" i="1"/>
  <c r="L19" i="1"/>
  <c r="L18" i="1"/>
  <c r="L17" i="1"/>
  <c r="L16" i="1"/>
  <c r="L15" i="1"/>
  <c r="I15" i="1"/>
  <c r="L14" i="1"/>
  <c r="L13" i="1"/>
  <c r="K13" i="1"/>
  <c r="I13" i="1"/>
  <c r="L12" i="1"/>
  <c r="I12" i="1"/>
  <c r="L11" i="1"/>
  <c r="K11" i="1"/>
  <c r="K10" i="1"/>
  <c r="L10" i="1" s="1"/>
  <c r="L9" i="1"/>
  <c r="L8" i="1"/>
  <c r="I7" i="1"/>
  <c r="L7" i="1" s="1"/>
  <c r="K6" i="1"/>
  <c r="I6" i="1"/>
  <c r="L6" i="1" s="1"/>
  <c r="L5" i="1"/>
  <c r="K5" i="1"/>
  <c r="L4" i="1"/>
  <c r="L3" i="1"/>
  <c r="K3" i="1"/>
  <c r="K240" i="1" s="1"/>
  <c r="B17" i="1"/>
  <c r="B18" i="1" s="1"/>
  <c r="B19" i="1" s="1"/>
  <c r="B20" i="1" s="1"/>
  <c r="B21" i="1" s="1"/>
  <c r="L2" i="1"/>
  <c r="L24" i="9" l="1"/>
  <c r="N92" i="1"/>
  <c r="J97" i="9"/>
  <c r="L97" i="9" s="1"/>
  <c r="N88" i="9" s="1"/>
  <c r="N212" i="1"/>
  <c r="J210" i="9"/>
  <c r="L210" i="9" s="1"/>
  <c r="L228" i="1"/>
  <c r="J226" i="9" s="1"/>
  <c r="L226" i="9" s="1"/>
  <c r="N71" i="1"/>
  <c r="L29" i="1"/>
  <c r="L48" i="1"/>
  <c r="J47" i="9" s="1"/>
  <c r="L47" i="9" s="1"/>
  <c r="L123" i="1"/>
  <c r="J123" i="9" s="1"/>
  <c r="L123" i="9" s="1"/>
  <c r="L162" i="1"/>
  <c r="J159" i="9" s="1"/>
  <c r="L159" i="9" s="1"/>
  <c r="L164" i="1"/>
  <c r="J161" i="9" s="1"/>
  <c r="L161" i="9" s="1"/>
  <c r="L198" i="1"/>
  <c r="J195" i="9" s="1"/>
  <c r="L195" i="9" s="1"/>
  <c r="L183" i="1"/>
  <c r="J180" i="9" s="1"/>
  <c r="L180" i="9" s="1"/>
  <c r="L28" i="1"/>
  <c r="L38" i="1"/>
  <c r="J37" i="9" s="1"/>
  <c r="L37" i="9" s="1"/>
  <c r="L44" i="1"/>
  <c r="J43" i="9" s="1"/>
  <c r="L43" i="9" s="1"/>
  <c r="N39" i="9" s="1"/>
  <c r="L47" i="1"/>
  <c r="J46" i="9" s="1"/>
  <c r="L46" i="9" s="1"/>
  <c r="L105" i="1"/>
  <c r="J100" i="9" s="1"/>
  <c r="L100" i="9" s="1"/>
  <c r="L117" i="1"/>
  <c r="J117" i="9" s="1"/>
  <c r="L117" i="9" s="1"/>
  <c r="L120" i="1"/>
  <c r="J120" i="9" s="1"/>
  <c r="L120" i="9" s="1"/>
  <c r="L122" i="1"/>
  <c r="L129" i="1"/>
  <c r="L163" i="1"/>
  <c r="J160" i="9" s="1"/>
  <c r="L160" i="9" s="1"/>
  <c r="L165" i="1"/>
  <c r="J162" i="9" s="1"/>
  <c r="L162" i="9" s="1"/>
  <c r="L211" i="1"/>
  <c r="J209" i="9" s="1"/>
  <c r="L209" i="9" s="1"/>
  <c r="L216" i="1"/>
  <c r="J214" i="9" s="1"/>
  <c r="L214" i="9" s="1"/>
  <c r="L227" i="1"/>
  <c r="J225" i="9" s="1"/>
  <c r="L225" i="9" s="1"/>
  <c r="L232" i="1"/>
  <c r="J230" i="9" s="1"/>
  <c r="L230" i="9" s="1"/>
  <c r="L234" i="1"/>
  <c r="J232" i="9" s="1"/>
  <c r="L232" i="9" s="1"/>
  <c r="L236" i="1"/>
  <c r="J234" i="9" s="1"/>
  <c r="L234" i="9" s="1"/>
  <c r="I240" i="1"/>
  <c r="N40" i="1"/>
  <c r="N63" i="1"/>
  <c r="N47" i="9" l="1"/>
  <c r="L239" i="9"/>
  <c r="J239" i="9"/>
  <c r="N48" i="1"/>
</calcChain>
</file>

<file path=xl/sharedStrings.xml><?xml version="1.0" encoding="utf-8"?>
<sst xmlns="http://schemas.openxmlformats.org/spreadsheetml/2006/main" count="2151" uniqueCount="758">
  <si>
    <t>SI No.</t>
  </si>
  <si>
    <t>First Name</t>
  </si>
  <si>
    <t>Middle Name</t>
  </si>
  <si>
    <t>Last Name</t>
  </si>
  <si>
    <t>Class Code</t>
  </si>
  <si>
    <t>Payment Code</t>
  </si>
  <si>
    <t>Guardian Phone</t>
  </si>
  <si>
    <t>fees due</t>
  </si>
  <si>
    <t>outstanding</t>
  </si>
  <si>
    <t>amount paid</t>
  </si>
  <si>
    <t>balance</t>
  </si>
  <si>
    <t>category</t>
  </si>
  <si>
    <t>colour category</t>
  </si>
  <si>
    <t>debt carried forward</t>
  </si>
  <si>
    <t>Aleem</t>
  </si>
  <si>
    <t>Galugali</t>
  </si>
  <si>
    <t>Afan</t>
  </si>
  <si>
    <t>ELEPHANT</t>
  </si>
  <si>
    <t>Mugambwa</t>
  </si>
  <si>
    <t>tyrone Tendo</t>
  </si>
  <si>
    <t>Mukasa</t>
  </si>
  <si>
    <t>Nikky</t>
  </si>
  <si>
    <t>Nansubuga</t>
  </si>
  <si>
    <t>Bint Hamis</t>
  </si>
  <si>
    <t>Hannah</t>
  </si>
  <si>
    <t>Sempela</t>
  </si>
  <si>
    <t>Paul</t>
  </si>
  <si>
    <t>Troy</t>
  </si>
  <si>
    <t>Ruth</t>
  </si>
  <si>
    <t>Mirab</t>
  </si>
  <si>
    <t>Nimurungi</t>
  </si>
  <si>
    <t>Alvin</t>
  </si>
  <si>
    <t>Sserugo</t>
  </si>
  <si>
    <t>Nalubega</t>
  </si>
  <si>
    <t>Samantha</t>
  </si>
  <si>
    <t>Zion</t>
  </si>
  <si>
    <t>Nanyonga</t>
  </si>
  <si>
    <t>Pretty</t>
  </si>
  <si>
    <t>kiwanuka</t>
  </si>
  <si>
    <t>Adeke</t>
  </si>
  <si>
    <t>Dinah</t>
  </si>
  <si>
    <t>Namutebi</t>
  </si>
  <si>
    <t>Shukran</t>
  </si>
  <si>
    <t>discount</t>
  </si>
  <si>
    <t>Mukisa</t>
  </si>
  <si>
    <t>Daniel</t>
  </si>
  <si>
    <t>Wesonga</t>
  </si>
  <si>
    <t>Emmanuel</t>
  </si>
  <si>
    <t>ZEBRA</t>
  </si>
  <si>
    <t>vau user</t>
  </si>
  <si>
    <t>Aafruuz</t>
  </si>
  <si>
    <t>Mutambuli</t>
  </si>
  <si>
    <t>Mansoor</t>
  </si>
  <si>
    <t>Shuquran</t>
  </si>
  <si>
    <t>Wamala</t>
  </si>
  <si>
    <t>Abdu</t>
  </si>
  <si>
    <t>Namwori</t>
  </si>
  <si>
    <t>Grace</t>
  </si>
  <si>
    <t>teachers child</t>
  </si>
  <si>
    <t>Bakish</t>
  </si>
  <si>
    <t>Shakirah</t>
  </si>
  <si>
    <t>Muhammed</t>
  </si>
  <si>
    <t>ivana</t>
  </si>
  <si>
    <t>cook</t>
  </si>
  <si>
    <t>Ssenyondo</t>
  </si>
  <si>
    <t>Biden</t>
  </si>
  <si>
    <t>kakooza jovan</t>
  </si>
  <si>
    <t>Nakitende</t>
  </si>
  <si>
    <t>mercy</t>
  </si>
  <si>
    <t>Elizabeth</t>
  </si>
  <si>
    <t>Muwanguzi</t>
  </si>
  <si>
    <t>Lael</t>
  </si>
  <si>
    <t>victor</t>
  </si>
  <si>
    <t>Gabriell</t>
  </si>
  <si>
    <t>Ayerango</t>
  </si>
  <si>
    <t>reported in march</t>
  </si>
  <si>
    <t>Mulwanyi</t>
  </si>
  <si>
    <t>Chrizestom</t>
  </si>
  <si>
    <t>harmony atuheire 50000</t>
  </si>
  <si>
    <t>Kaleb</t>
  </si>
  <si>
    <t>Myles</t>
  </si>
  <si>
    <t>Kolya</t>
  </si>
  <si>
    <t>Princess</t>
  </si>
  <si>
    <t>Ayinebyona</t>
  </si>
  <si>
    <t>Nakato</t>
  </si>
  <si>
    <t xml:space="preserve">Lauren </t>
  </si>
  <si>
    <t>Asio</t>
  </si>
  <si>
    <t>Malaika</t>
  </si>
  <si>
    <t>LION</t>
  </si>
  <si>
    <t>Nakigozi</t>
  </si>
  <si>
    <t>Brovia</t>
  </si>
  <si>
    <t>Martha</t>
  </si>
  <si>
    <t>f</t>
  </si>
  <si>
    <t>Ssemakula</t>
  </si>
  <si>
    <t>Joseph</t>
  </si>
  <si>
    <t>Asher</t>
  </si>
  <si>
    <t xml:space="preserve">Kristian </t>
  </si>
  <si>
    <t>Pendo</t>
  </si>
  <si>
    <t>Ogola</t>
  </si>
  <si>
    <t>Nakyeyune</t>
  </si>
  <si>
    <t>Hamnah</t>
  </si>
  <si>
    <t>Sarah</t>
  </si>
  <si>
    <t>Ekisula ebweru</t>
  </si>
  <si>
    <t>salim</t>
  </si>
  <si>
    <t>Babirye</t>
  </si>
  <si>
    <t>Miracle</t>
  </si>
  <si>
    <t>Victoria</t>
  </si>
  <si>
    <t>yellow =iccsp</t>
  </si>
  <si>
    <t>Ganiima</t>
  </si>
  <si>
    <t>Nakkuni</t>
  </si>
  <si>
    <t>Ramsha</t>
  </si>
  <si>
    <t>Kiyimba</t>
  </si>
  <si>
    <t>Joram</t>
  </si>
  <si>
    <t>nakyanzi   f</t>
  </si>
  <si>
    <t>Sharom</t>
  </si>
  <si>
    <t>Saka</t>
  </si>
  <si>
    <t>Raymond</t>
  </si>
  <si>
    <t>Suhairah</t>
  </si>
  <si>
    <t>Isah</t>
  </si>
  <si>
    <t>Nakanda</t>
  </si>
  <si>
    <t>mourisha</t>
  </si>
  <si>
    <t>discount lunch</t>
  </si>
  <si>
    <t>Mubiru</t>
  </si>
  <si>
    <t>Fahim</t>
  </si>
  <si>
    <t>Hossana</t>
  </si>
  <si>
    <t>Nakiberu</t>
  </si>
  <si>
    <t>Abigail</t>
  </si>
  <si>
    <t>mudoola</t>
  </si>
  <si>
    <t>Travis</t>
  </si>
  <si>
    <t>Ninsiima</t>
  </si>
  <si>
    <t>Dyna</t>
  </si>
  <si>
    <t>van user</t>
  </si>
  <si>
    <t>Namuganyi</t>
  </si>
  <si>
    <t>kellen</t>
  </si>
  <si>
    <t xml:space="preserve">Nakibuuka </t>
  </si>
  <si>
    <t>Mary</t>
  </si>
  <si>
    <t xml:space="preserve">Mirembe </t>
  </si>
  <si>
    <t>Lois</t>
  </si>
  <si>
    <t>PRIMARY ONE</t>
  </si>
  <si>
    <t>Victor</t>
  </si>
  <si>
    <t>Mugisha</t>
  </si>
  <si>
    <t>P.1</t>
  </si>
  <si>
    <t>staff(eva nakalembe)  f</t>
  </si>
  <si>
    <t>Emmanuella</t>
  </si>
  <si>
    <t>Lubega</t>
  </si>
  <si>
    <t>Namboozo</t>
  </si>
  <si>
    <t>plus lunch f</t>
  </si>
  <si>
    <t>Mirembe</t>
  </si>
  <si>
    <t>Zuri</t>
  </si>
  <si>
    <t>Jeredin</t>
  </si>
  <si>
    <t>Kibumba</t>
  </si>
  <si>
    <t>Bitege</t>
  </si>
  <si>
    <t>Haitham</t>
  </si>
  <si>
    <t>Kyeyune</t>
  </si>
  <si>
    <t>lunch also inclusive at this amount f</t>
  </si>
  <si>
    <t>kawalya</t>
  </si>
  <si>
    <t>hormony</t>
  </si>
  <si>
    <t>Lwanga</t>
  </si>
  <si>
    <t>Destiny</t>
  </si>
  <si>
    <t>Adrian</t>
  </si>
  <si>
    <t>red= otm</t>
  </si>
  <si>
    <t>Jeremiah</t>
  </si>
  <si>
    <t xml:space="preserve">Gift </t>
  </si>
  <si>
    <t>nakiwala</t>
  </si>
  <si>
    <t>Ethan</t>
  </si>
  <si>
    <t>Prosper</t>
  </si>
  <si>
    <t>Kaweesa</t>
  </si>
  <si>
    <t>Kizza</t>
  </si>
  <si>
    <t>Brian</t>
  </si>
  <si>
    <t>Bumpenje Prosper</t>
  </si>
  <si>
    <t>blue =GA</t>
  </si>
  <si>
    <t>Nakasujja</t>
  </si>
  <si>
    <t>Ivy</t>
  </si>
  <si>
    <t>Catherine</t>
  </si>
  <si>
    <t>Nathaniel</t>
  </si>
  <si>
    <t>Crystal</t>
  </si>
  <si>
    <t>Havah</t>
  </si>
  <si>
    <t>Aturinda</t>
  </si>
  <si>
    <t>Kajjubi</t>
  </si>
  <si>
    <t>Alkham</t>
  </si>
  <si>
    <t>Precious</t>
  </si>
  <si>
    <t>Maali</t>
  </si>
  <si>
    <t>evelyne</t>
  </si>
  <si>
    <t>Serena</t>
  </si>
  <si>
    <t>Achadu</t>
  </si>
  <si>
    <t>Barrika</t>
  </si>
  <si>
    <t>ekwap and humphrey</t>
  </si>
  <si>
    <t>Latifa</t>
  </si>
  <si>
    <t>Nambuya</t>
  </si>
  <si>
    <t>Malika</t>
  </si>
  <si>
    <t>discount aunt p</t>
  </si>
  <si>
    <t>Ojulu</t>
  </si>
  <si>
    <t>George</t>
  </si>
  <si>
    <t>sharif</t>
  </si>
  <si>
    <t>Golden</t>
  </si>
  <si>
    <t>Namubiru</t>
  </si>
  <si>
    <t>cynthia</t>
  </si>
  <si>
    <t>Annet</t>
  </si>
  <si>
    <t>lunch</t>
  </si>
  <si>
    <t>Diego</t>
  </si>
  <si>
    <t>jjemba</t>
  </si>
  <si>
    <t>malladona</t>
  </si>
  <si>
    <t>Nanyonjo</t>
  </si>
  <si>
    <t>blessing</t>
  </si>
  <si>
    <t>Dikan Joseph</t>
  </si>
  <si>
    <t>Teem</t>
  </si>
  <si>
    <t>Joshua</t>
  </si>
  <si>
    <t>Ssekajja</t>
  </si>
  <si>
    <t>Reuben</t>
  </si>
  <si>
    <t>Ngoloobe</t>
  </si>
  <si>
    <t>putin</t>
  </si>
  <si>
    <t xml:space="preserve">Mayega </t>
  </si>
  <si>
    <t>Mukiibi</t>
  </si>
  <si>
    <t>Darren</t>
  </si>
  <si>
    <t>plus lunch</t>
  </si>
  <si>
    <t>Jerome</t>
  </si>
  <si>
    <t>Kato</t>
  </si>
  <si>
    <t>Mugwaanya</t>
  </si>
  <si>
    <t>Jethro</t>
  </si>
  <si>
    <t>Wasswa</t>
  </si>
  <si>
    <t>p.1</t>
  </si>
  <si>
    <t xml:space="preserve"> </t>
  </si>
  <si>
    <t>PRIMARY TWO</t>
  </si>
  <si>
    <t>Namutamba</t>
  </si>
  <si>
    <t>Faith</t>
  </si>
  <si>
    <t>P.2</t>
  </si>
  <si>
    <t>Jotham</t>
  </si>
  <si>
    <t>nakyanzi</t>
  </si>
  <si>
    <t>Bajjampola</t>
  </si>
  <si>
    <t>Hillary</t>
  </si>
  <si>
    <t>Omarimungu</t>
  </si>
  <si>
    <t>Jordan</t>
  </si>
  <si>
    <t>otm</t>
  </si>
  <si>
    <t>isah</t>
  </si>
  <si>
    <t>Mbowa</t>
  </si>
  <si>
    <t>Nambi</t>
  </si>
  <si>
    <t>Esther</t>
  </si>
  <si>
    <t>harmony</t>
  </si>
  <si>
    <t>Edgar</t>
  </si>
  <si>
    <t>Ekwap</t>
  </si>
  <si>
    <t>Barrack</t>
  </si>
  <si>
    <t>Kim</t>
  </si>
  <si>
    <t>Keiley</t>
  </si>
  <si>
    <t>Nakalyango</t>
  </si>
  <si>
    <t>Shanitah</t>
  </si>
  <si>
    <t>Namuwaya</t>
  </si>
  <si>
    <t>Mitchel</t>
  </si>
  <si>
    <t>Karungi</t>
  </si>
  <si>
    <t>Lewin</t>
  </si>
  <si>
    <t>Amber</t>
  </si>
  <si>
    <t>Achsah</t>
  </si>
  <si>
    <t>Naava</t>
  </si>
  <si>
    <t>Serah</t>
  </si>
  <si>
    <t>Hudson</t>
  </si>
  <si>
    <t>kizza</t>
  </si>
  <si>
    <t>Kantinti</t>
  </si>
  <si>
    <t>Kadyesi</t>
  </si>
  <si>
    <t>Muhammad</t>
  </si>
  <si>
    <t>Kisakye</t>
  </si>
  <si>
    <t>Achali</t>
  </si>
  <si>
    <t>p.2</t>
  </si>
  <si>
    <t>Nalwanga</t>
  </si>
  <si>
    <t>Nestor</t>
  </si>
  <si>
    <t>PRIMARY THREE</t>
  </si>
  <si>
    <t>Newton</t>
  </si>
  <si>
    <t>P.3</t>
  </si>
  <si>
    <t>Eria</t>
  </si>
  <si>
    <t>Nathan</t>
  </si>
  <si>
    <t>Kalungi</t>
  </si>
  <si>
    <t>Blessing</t>
  </si>
  <si>
    <t>staff(eva nakalembe)</t>
  </si>
  <si>
    <t>Adrine-</t>
  </si>
  <si>
    <t>Otm</t>
  </si>
  <si>
    <t>Tushemeyirwe</t>
  </si>
  <si>
    <t>Ssemalulu</t>
  </si>
  <si>
    <t>Rich</t>
  </si>
  <si>
    <t>Rahmah</t>
  </si>
  <si>
    <t>Rashimah</t>
  </si>
  <si>
    <t>Nakaweesa</t>
  </si>
  <si>
    <t>Namwano</t>
  </si>
  <si>
    <t>Nakawooya</t>
  </si>
  <si>
    <t>Swabrah</t>
  </si>
  <si>
    <t xml:space="preserve">Bineme </t>
  </si>
  <si>
    <t>Johnson bosco</t>
  </si>
  <si>
    <t>Jacob</t>
  </si>
  <si>
    <t>Poni</t>
  </si>
  <si>
    <t>Divine</t>
  </si>
  <si>
    <t>Atuheire</t>
  </si>
  <si>
    <t>Harmony</t>
  </si>
  <si>
    <t>Beatrice</t>
  </si>
  <si>
    <t>Philiberta</t>
  </si>
  <si>
    <t>Larisa</t>
  </si>
  <si>
    <t>Alla Wasagali</t>
  </si>
  <si>
    <t>Naiga</t>
  </si>
  <si>
    <t>Sheillah</t>
  </si>
  <si>
    <t>boarding</t>
  </si>
  <si>
    <t>Nabangi</t>
  </si>
  <si>
    <t>Ronald</t>
  </si>
  <si>
    <t>Walter</t>
  </si>
  <si>
    <t>Tumukunde</t>
  </si>
  <si>
    <t>Chrispas</t>
  </si>
  <si>
    <t>Bajja</t>
  </si>
  <si>
    <t>Namukone</t>
  </si>
  <si>
    <t>Gloria</t>
  </si>
  <si>
    <t>Biyonce</t>
  </si>
  <si>
    <t>Nahabwe</t>
  </si>
  <si>
    <t>Giduno</t>
  </si>
  <si>
    <t>Linus</t>
  </si>
  <si>
    <t>Wagama</t>
  </si>
  <si>
    <t>Amuria</t>
  </si>
  <si>
    <t>Melody</t>
  </si>
  <si>
    <t>muwanguzi</t>
  </si>
  <si>
    <t>Farish</t>
  </si>
  <si>
    <t>Akaruhanga</t>
  </si>
  <si>
    <t>Shalom</t>
  </si>
  <si>
    <t>Benjamin</t>
  </si>
  <si>
    <t>p.3</t>
  </si>
  <si>
    <t>Namatovu</t>
  </si>
  <si>
    <t>liz</t>
  </si>
  <si>
    <t>Nestine</t>
  </si>
  <si>
    <t>Nakirya</t>
  </si>
  <si>
    <t>Kautharah</t>
  </si>
  <si>
    <t>NAMAGANDA MERISHA</t>
  </si>
  <si>
    <t>PRIMARY FOUR</t>
  </si>
  <si>
    <t>Joy</t>
  </si>
  <si>
    <t>Katiti</t>
  </si>
  <si>
    <t>Cynthia</t>
  </si>
  <si>
    <t>P.4</t>
  </si>
  <si>
    <t>Bagyenzi</t>
  </si>
  <si>
    <t>reported in march in boarding</t>
  </si>
  <si>
    <t>Janet</t>
  </si>
  <si>
    <t>Mercy</t>
  </si>
  <si>
    <t>Namele</t>
  </si>
  <si>
    <t>Joyce</t>
  </si>
  <si>
    <t>Rose</t>
  </si>
  <si>
    <t>Mugerwa</t>
  </si>
  <si>
    <t>Veronica</t>
  </si>
  <si>
    <t>Wanyana</t>
  </si>
  <si>
    <t>Nassali</t>
  </si>
  <si>
    <t>Immaculate</t>
  </si>
  <si>
    <t>Tosuma</t>
  </si>
  <si>
    <t>Charles</t>
  </si>
  <si>
    <t>Kiwanuka</t>
  </si>
  <si>
    <t>Nakayiza</t>
  </si>
  <si>
    <t>Rehemah</t>
  </si>
  <si>
    <t>Shafick</t>
  </si>
  <si>
    <t>Gautham</t>
  </si>
  <si>
    <t>Collin</t>
  </si>
  <si>
    <t>Ssekibaala</t>
  </si>
  <si>
    <t xml:space="preserve">Agongo </t>
  </si>
  <si>
    <t>Specioza</t>
  </si>
  <si>
    <t>Amoding</t>
  </si>
  <si>
    <t>van</t>
  </si>
  <si>
    <t>Namatta</t>
  </si>
  <si>
    <t>|patricia</t>
  </si>
  <si>
    <t>Twabalyaki</t>
  </si>
  <si>
    <t>Peter</t>
  </si>
  <si>
    <t>p.4</t>
  </si>
  <si>
    <t>Buyinza</t>
  </si>
  <si>
    <t>Najjuma</t>
  </si>
  <si>
    <t>Glorious</t>
  </si>
  <si>
    <t>Walusansa</t>
  </si>
  <si>
    <t>Felix</t>
  </si>
  <si>
    <t xml:space="preserve">RUKUNDO </t>
  </si>
  <si>
    <t>SHERINA</t>
  </si>
  <si>
    <t>PRIMARY FIVE</t>
  </si>
  <si>
    <t>Josiah</t>
  </si>
  <si>
    <t>P.5</t>
  </si>
  <si>
    <t>Maraka</t>
  </si>
  <si>
    <t>Carina</t>
  </si>
  <si>
    <t>Rubby</t>
  </si>
  <si>
    <t>Aleysha</t>
  </si>
  <si>
    <t>Alice</t>
  </si>
  <si>
    <t>Kirabo</t>
  </si>
  <si>
    <t>Angel</t>
  </si>
  <si>
    <t>Adriel</t>
  </si>
  <si>
    <t>Bugwata</t>
  </si>
  <si>
    <t>Melisa</t>
  </si>
  <si>
    <t>Nagadya</t>
  </si>
  <si>
    <t>Victorious</t>
  </si>
  <si>
    <t>Okidi</t>
  </si>
  <si>
    <t>Wairimu</t>
  </si>
  <si>
    <t>Kaana</t>
  </si>
  <si>
    <t>Shilla</t>
  </si>
  <si>
    <t>Kyeswa</t>
  </si>
  <si>
    <t>Ddamba</t>
  </si>
  <si>
    <t>Calvin</t>
  </si>
  <si>
    <t>Nanfuka</t>
  </si>
  <si>
    <t>Nabakiibi</t>
  </si>
  <si>
    <t>Namugabi</t>
  </si>
  <si>
    <t>Nisha</t>
  </si>
  <si>
    <t>Omu</t>
  </si>
  <si>
    <t>Namaganda</t>
  </si>
  <si>
    <t>Prossy</t>
  </si>
  <si>
    <t>Denis</t>
  </si>
  <si>
    <t>Nsamba</t>
  </si>
  <si>
    <t>Matovu</t>
  </si>
  <si>
    <t>Douglas</t>
  </si>
  <si>
    <t>Birungi</t>
  </si>
  <si>
    <t>Patience</t>
  </si>
  <si>
    <t>Nasaazi</t>
  </si>
  <si>
    <t>Sam</t>
  </si>
  <si>
    <t>Membe</t>
  </si>
  <si>
    <t>Akram</t>
  </si>
  <si>
    <t>Gift-</t>
  </si>
  <si>
    <t>Kwagala</t>
  </si>
  <si>
    <t>Lily</t>
  </si>
  <si>
    <t>Nanyange</t>
  </si>
  <si>
    <t>Nyonyintono</t>
  </si>
  <si>
    <t>Raaiz</t>
  </si>
  <si>
    <t xml:space="preserve">Nansubuga </t>
  </si>
  <si>
    <t xml:space="preserve">ISANKA </t>
  </si>
  <si>
    <t>FRANK</t>
  </si>
  <si>
    <t>PRIMARY SIX</t>
  </si>
  <si>
    <t>Jonathan</t>
  </si>
  <si>
    <t>P.6</t>
  </si>
  <si>
    <t>Sharifah</t>
  </si>
  <si>
    <t>Nanyanzi</t>
  </si>
  <si>
    <t>Wilson</t>
  </si>
  <si>
    <t>Christiano</t>
  </si>
  <si>
    <t>Kayabula</t>
  </si>
  <si>
    <t>Apollo</t>
  </si>
  <si>
    <t>Ssewanyana</t>
  </si>
  <si>
    <t>-</t>
  </si>
  <si>
    <t>David</t>
  </si>
  <si>
    <t>Mugarula</t>
  </si>
  <si>
    <t>Mugabo</t>
  </si>
  <si>
    <t>Kevin</t>
  </si>
  <si>
    <t>Kuguma</t>
  </si>
  <si>
    <t>Kansaze</t>
  </si>
  <si>
    <t>Nabutono</t>
  </si>
  <si>
    <t>Alphine</t>
  </si>
  <si>
    <t>Namikka</t>
  </si>
  <si>
    <t>Joeline</t>
  </si>
  <si>
    <t>Humphfrey</t>
  </si>
  <si>
    <t>Imamut</t>
  </si>
  <si>
    <t>Bahat</t>
  </si>
  <si>
    <t>Muhanguzi</t>
  </si>
  <si>
    <t>Drake</t>
  </si>
  <si>
    <t>Wanyenze</t>
  </si>
  <si>
    <t>Joan</t>
  </si>
  <si>
    <t>Nowamani</t>
  </si>
  <si>
    <t>Aaron</t>
  </si>
  <si>
    <t>Buzare</t>
  </si>
  <si>
    <t>Bataringaya</t>
  </si>
  <si>
    <t>leon</t>
  </si>
  <si>
    <t>Kateike</t>
  </si>
  <si>
    <t>Sumaiyah</t>
  </si>
  <si>
    <t>mumbejja</t>
  </si>
  <si>
    <t>takizilati</t>
  </si>
  <si>
    <t>p.6</t>
  </si>
  <si>
    <t>PRIMARY SEVEN</t>
  </si>
  <si>
    <t>Mutabaazi</t>
  </si>
  <si>
    <t>Shifurah</t>
  </si>
  <si>
    <t>P.7</t>
  </si>
  <si>
    <t>cleared medical</t>
  </si>
  <si>
    <t>Shabirah</t>
  </si>
  <si>
    <t>Isabella</t>
  </si>
  <si>
    <t>Nakawunde</t>
  </si>
  <si>
    <t>Celine</t>
  </si>
  <si>
    <t>Tamara</t>
  </si>
  <si>
    <t>Fahima</t>
  </si>
  <si>
    <t>Waithera</t>
  </si>
  <si>
    <t>Praise</t>
  </si>
  <si>
    <t>Patrah</t>
  </si>
  <si>
    <t>Nagita</t>
  </si>
  <si>
    <t>Rahuman</t>
  </si>
  <si>
    <t>Kyobe</t>
  </si>
  <si>
    <t>Atuhire</t>
  </si>
  <si>
    <t>Anitah-</t>
  </si>
  <si>
    <t>Kobusinge</t>
  </si>
  <si>
    <t>Anorld-</t>
  </si>
  <si>
    <t>Gerald</t>
  </si>
  <si>
    <t>Bumba</t>
  </si>
  <si>
    <t>Regan</t>
  </si>
  <si>
    <t>Okir</t>
  </si>
  <si>
    <t>Ashim</t>
  </si>
  <si>
    <t>Mabonga</t>
  </si>
  <si>
    <t>Itamba</t>
  </si>
  <si>
    <t>Fortunate</t>
  </si>
  <si>
    <t>discount board</t>
  </si>
  <si>
    <t>Pius</t>
  </si>
  <si>
    <t>Muwumba</t>
  </si>
  <si>
    <t>Gether</t>
  </si>
  <si>
    <t>Okasu</t>
  </si>
  <si>
    <t>Ochola</t>
  </si>
  <si>
    <t>Nakajja</t>
  </si>
  <si>
    <t>Tahira</t>
  </si>
  <si>
    <t>Tarah</t>
  </si>
  <si>
    <t>Nantale</t>
  </si>
  <si>
    <t>Sharon</t>
  </si>
  <si>
    <t>Phillanda</t>
  </si>
  <si>
    <t>Amaria</t>
  </si>
  <si>
    <t>Nambafu</t>
  </si>
  <si>
    <t>Nakazibwe</t>
  </si>
  <si>
    <t>Desire</t>
  </si>
  <si>
    <t>Nambalirwa</t>
  </si>
  <si>
    <t>Celline</t>
  </si>
  <si>
    <t>valen</t>
  </si>
  <si>
    <t>Mukula</t>
  </si>
  <si>
    <t>Robert</t>
  </si>
  <si>
    <t>Osany</t>
  </si>
  <si>
    <t>Connoly</t>
  </si>
  <si>
    <t>twesigamukama</t>
  </si>
  <si>
    <t>Gift</t>
  </si>
  <si>
    <t>Kusasira</t>
  </si>
  <si>
    <t>Akiror</t>
  </si>
  <si>
    <t>Patricia</t>
  </si>
  <si>
    <t>Drileba</t>
  </si>
  <si>
    <t>Total</t>
  </si>
  <si>
    <t>OFF-TU EDUCATION CENTRE MUKONO 2026</t>
  </si>
  <si>
    <t>TERM ONE ENROLLMENT 2026</t>
  </si>
  <si>
    <t>TERM TWO ENROLLMENT 2026</t>
  </si>
  <si>
    <t>TERM THREE ENROLLMENT 2026</t>
  </si>
  <si>
    <t>BOYS</t>
  </si>
  <si>
    <t>GIRLS</t>
  </si>
  <si>
    <t>TOTAL</t>
  </si>
  <si>
    <t>BABY</t>
  </si>
  <si>
    <t>MIDDLE</t>
  </si>
  <si>
    <t>TOP</t>
  </si>
  <si>
    <t>TOTAL. NO</t>
  </si>
  <si>
    <t>OTEC TEACHERS ENROLLMENT</t>
  </si>
  <si>
    <t>MALE</t>
  </si>
  <si>
    <t>FEMALE</t>
  </si>
  <si>
    <t>NURSERY</t>
  </si>
  <si>
    <t>LOWER</t>
  </si>
  <si>
    <t>UPPER</t>
  </si>
  <si>
    <t>EMBROIDERY</t>
  </si>
  <si>
    <t>INGRIDIENTS 180K</t>
  </si>
  <si>
    <t>total</t>
  </si>
  <si>
    <t>no of books</t>
  </si>
  <si>
    <t>price</t>
  </si>
  <si>
    <t>difference</t>
  </si>
  <si>
    <t>tt px</t>
  </si>
  <si>
    <t>sch px</t>
  </si>
  <si>
    <t>hw</t>
  </si>
  <si>
    <t>dyna bal50000</t>
  </si>
  <si>
    <t xml:space="preserve">Mali </t>
  </si>
  <si>
    <t>Gracious</t>
  </si>
  <si>
    <t>Racheal</t>
  </si>
  <si>
    <t>nite</t>
  </si>
  <si>
    <t xml:space="preserve">Namaganda </t>
  </si>
  <si>
    <t>vanessa</t>
  </si>
  <si>
    <t>monthly expense  per term</t>
  </si>
  <si>
    <t>item</t>
  </si>
  <si>
    <t>month</t>
  </si>
  <si>
    <t>food</t>
  </si>
  <si>
    <t>quantity</t>
  </si>
  <si>
    <t>ingriendents</t>
  </si>
  <si>
    <t>tr special</t>
  </si>
  <si>
    <t>boarding special meal</t>
  </si>
  <si>
    <t>payee</t>
  </si>
  <si>
    <t>NSSF</t>
  </si>
  <si>
    <t>salaries</t>
  </si>
  <si>
    <t>wages</t>
  </si>
  <si>
    <t>firewood</t>
  </si>
  <si>
    <t>Electricity</t>
  </si>
  <si>
    <t>Exams</t>
  </si>
  <si>
    <t>mock</t>
  </si>
  <si>
    <t>escorts staff</t>
  </si>
  <si>
    <t>income</t>
  </si>
  <si>
    <t>fees</t>
  </si>
  <si>
    <t>diff</t>
  </si>
  <si>
    <t>slashing</t>
  </si>
  <si>
    <t>internet</t>
  </si>
  <si>
    <t>airtime</t>
  </si>
  <si>
    <t>allowance</t>
  </si>
  <si>
    <t>stationery and scheme book</t>
  </si>
  <si>
    <t>fumigation</t>
  </si>
  <si>
    <t>repairs and maintainence</t>
  </si>
  <si>
    <t>district facilitation</t>
  </si>
  <si>
    <t>pupils escorts</t>
  </si>
  <si>
    <t>fuel</t>
  </si>
  <si>
    <t>ended on 29th/04/2026</t>
  </si>
  <si>
    <t>TERM TWO WORK BOOKS</t>
  </si>
  <si>
    <t>NAME</t>
  </si>
  <si>
    <t>CLASS</t>
  </si>
  <si>
    <t>AMOUNT PAID</t>
  </si>
  <si>
    <t>BALANCE</t>
  </si>
  <si>
    <t>UNIFORMS TERM TWO</t>
  </si>
  <si>
    <t>DATE</t>
  </si>
  <si>
    <t>SPENT</t>
  </si>
  <si>
    <t>ITEM</t>
  </si>
  <si>
    <t>RECEIVED</t>
  </si>
  <si>
    <t>REFUND</t>
  </si>
  <si>
    <t>Nabatanzi</t>
  </si>
  <si>
    <t>kiyimba</t>
  </si>
  <si>
    <t>Nandudu</t>
  </si>
  <si>
    <t>Kasowole</t>
  </si>
  <si>
    <t>Hairat</t>
  </si>
  <si>
    <t>p.5</t>
  </si>
  <si>
    <t>NAKAZIBWE DESIRE</t>
  </si>
  <si>
    <t xml:space="preserve">KASOWOLE HAIRAT </t>
  </si>
  <si>
    <t>NAGITTA PROSSY</t>
  </si>
  <si>
    <t>MUKULA ROBERT</t>
  </si>
  <si>
    <t>KIYIMBA SHARON</t>
  </si>
  <si>
    <t>DDAMBA CALVIN</t>
  </si>
  <si>
    <t>NAKAWUNDECELLINE</t>
  </si>
  <si>
    <t>NAMAGANDA VANESSA</t>
  </si>
  <si>
    <t>ATUHIRWE ALVIN</t>
  </si>
  <si>
    <t>OKIRREAGAN</t>
  </si>
  <si>
    <t>TUMUKUNDE ARNOLD</t>
  </si>
  <si>
    <t>KOBUSINGYE ANITAH</t>
  </si>
  <si>
    <t>MUWUMBA PIUS</t>
  </si>
  <si>
    <t>NANSUBUGA PRETTY</t>
  </si>
  <si>
    <t>TOSUMA CHARLES</t>
  </si>
  <si>
    <t>OMU BENJAMIN</t>
  </si>
  <si>
    <t>MARAKA RUBI</t>
  </si>
  <si>
    <t>MARAKA TAMARA</t>
  </si>
  <si>
    <t>KANSAZE GLORIA</t>
  </si>
  <si>
    <t>NASSALI ABIGAIL</t>
  </si>
  <si>
    <t>MUGERWA SAMANTHA</t>
  </si>
  <si>
    <t>SSEMAKULA ALEYSHA</t>
  </si>
  <si>
    <t>ISANKA FRANK</t>
  </si>
  <si>
    <t>TWABALYAKI PETER</t>
  </si>
  <si>
    <t>KAYABULA CHRISTIAN</t>
  </si>
  <si>
    <t>BUGWATA HANNAH</t>
  </si>
  <si>
    <t>NABUTONO ALPHINE</t>
  </si>
  <si>
    <t>BAHATI HUMPHREY</t>
  </si>
  <si>
    <t>MEMBE SAMUEL</t>
  </si>
  <si>
    <t>NANYANZI SHARIFAH</t>
  </si>
  <si>
    <t>BBUMBA GERALD</t>
  </si>
  <si>
    <t>WAIRIMU OKIDI</t>
  </si>
  <si>
    <t>SHILLAH KAANA</t>
  </si>
  <si>
    <t>NAMUGABI NISHA</t>
  </si>
  <si>
    <t>BIRUNGI PATIENCE</t>
  </si>
  <si>
    <t>LWANGA AKRAM</t>
  </si>
  <si>
    <t>MUKISA DESTINY</t>
  </si>
  <si>
    <t>MUGABO JOSHUA</t>
  </si>
  <si>
    <t>P,6</t>
  </si>
  <si>
    <t>KUGUMA KEVIN</t>
  </si>
  <si>
    <t>WAITHERA PRAISE</t>
  </si>
  <si>
    <t>ITAMBA FORTUNATE</t>
  </si>
  <si>
    <t>OTM GA</t>
  </si>
  <si>
    <t>MABONGA ASHIM</t>
  </si>
  <si>
    <t>SSEMAKULA WILSON</t>
  </si>
  <si>
    <t>KATO MATOVU</t>
  </si>
  <si>
    <t>WASSWA NSAMBA</t>
  </si>
  <si>
    <t>NAMAGANDA PROSSY</t>
  </si>
  <si>
    <t>RUKUNDO SHERINA</t>
  </si>
  <si>
    <t>KYEYUNE GENESIS</t>
  </si>
  <si>
    <t>MUHANGUZI DRAKE</t>
  </si>
  <si>
    <t>AMODING DESTINY</t>
  </si>
  <si>
    <t>BATARINGAYA LEON</t>
  </si>
  <si>
    <t>KIRABO ANGEL</t>
  </si>
  <si>
    <t>WANYENZE JOAN</t>
  </si>
  <si>
    <t>KYESSWA RONALD</t>
  </si>
  <si>
    <t>CALCULATION</t>
  </si>
  <si>
    <t>AVAILABLE</t>
  </si>
  <si>
    <t>COST</t>
  </si>
  <si>
    <t>PROFIT</t>
  </si>
  <si>
    <t>PRICE OF WORK BOOK</t>
  </si>
  <si>
    <t>NYONYINTONO RAAIZ</t>
  </si>
  <si>
    <t>\</t>
  </si>
  <si>
    <t>KASOWOLE HAIRAT</t>
  </si>
  <si>
    <t>NAKAWUNDE CELLINE</t>
  </si>
  <si>
    <t>SSEKAJJA REUBEN</t>
  </si>
  <si>
    <t>NAMBUYA MALIKAH</t>
  </si>
  <si>
    <t>NAMBI ESTHER</t>
  </si>
  <si>
    <t>KWAGALAKWE MELLISA</t>
  </si>
  <si>
    <t>FAUDEL NAJIB</t>
  </si>
  <si>
    <t>WESONGA EMMANUEL</t>
  </si>
  <si>
    <t>KISAKYE JOSHUA</t>
  </si>
  <si>
    <t>TUSHEMEREIRWE ADRINE</t>
  </si>
  <si>
    <t>ACHADU SERENA</t>
  </si>
  <si>
    <t>EKWAP EDGER</t>
  </si>
  <si>
    <t>MUKISA JEREMIAH</t>
  </si>
  <si>
    <t>MUKISA NATHANIEL</t>
  </si>
  <si>
    <t>LWANGA DESTINY</t>
  </si>
  <si>
    <t>NAKIWALA GIFT</t>
  </si>
  <si>
    <t>OMARIMUNGU JORDAN</t>
  </si>
  <si>
    <t>NAKAWOOYA SWABURA</t>
  </si>
  <si>
    <t>NAGADYA MELLISA</t>
  </si>
  <si>
    <t>OKIR REAGAN</t>
  </si>
  <si>
    <t>ATUHIRE ALVIN</t>
  </si>
  <si>
    <t>KIZZA BRIAN</t>
  </si>
  <si>
    <t>MUWANGUZI NEWTON</t>
  </si>
  <si>
    <t>NABANGI RONALD</t>
  </si>
  <si>
    <t>WAIRIMU VICTORIOUS</t>
  </si>
  <si>
    <t>SHILLA KAANA</t>
  </si>
  <si>
    <t>BIRUNGI PATIENCE NASAAZI</t>
  </si>
  <si>
    <t>MUGARULA DAVID</t>
  </si>
  <si>
    <t>PIUS MUWUMBA</t>
  </si>
  <si>
    <t>NAMBOOZO EMMANUEL</t>
  </si>
  <si>
    <t>MIREMBE ZURI</t>
  </si>
  <si>
    <t>NITE KAWALA</t>
  </si>
  <si>
    <t>ADRINE TUSHEMEREIRWE</t>
  </si>
  <si>
    <t>NAIGA SHEILLAH</t>
  </si>
  <si>
    <t>NAMAGANDA MELISA</t>
  </si>
  <si>
    <t>RUKUNDO   SHERINA</t>
  </si>
  <si>
    <t>HANNAH BUGWATA</t>
  </si>
  <si>
    <t>WASSWA DENIS</t>
  </si>
  <si>
    <t>MATOVU DOUGLAS</t>
  </si>
  <si>
    <t>ASHIM MABONGA</t>
  </si>
  <si>
    <t>NAMUTEBI SARAH</t>
  </si>
  <si>
    <t>ATUHEIRE HARMONY</t>
  </si>
  <si>
    <t>MARAKA RUBY</t>
  </si>
  <si>
    <t>BABIRYE JANET MERCY</t>
  </si>
  <si>
    <t>NAMATTA FAITH</t>
  </si>
  <si>
    <t>NABAKIIBI ANGEL</t>
  </si>
  <si>
    <t>ATAYI VIVIAN</t>
  </si>
  <si>
    <t>P4</t>
  </si>
  <si>
    <t>KUTEESA JOYCE</t>
  </si>
  <si>
    <t>PHYLANDER AMARIA</t>
  </si>
  <si>
    <t>KAJJUBI ALKHAM</t>
  </si>
  <si>
    <t>NAMUTAMBA FAITH</t>
  </si>
  <si>
    <t>BITEGE JEREDIN</t>
  </si>
  <si>
    <t>KADYESI MUHAMMAD</t>
  </si>
  <si>
    <t>AKARUHANGA FARISH</t>
  </si>
  <si>
    <t>LIB FEE</t>
  </si>
  <si>
    <t>PRINTER</t>
  </si>
  <si>
    <t>GRAVEL</t>
  </si>
  <si>
    <t xml:space="preserve">TOTAL: </t>
  </si>
  <si>
    <t>2 COMPUTERS</t>
  </si>
  <si>
    <t xml:space="preserve">Faudel </t>
  </si>
  <si>
    <t>Najib</t>
  </si>
  <si>
    <t>Mutebi</t>
  </si>
  <si>
    <t>DIKAN BLESSING</t>
  </si>
  <si>
    <t>YAKA</t>
  </si>
  <si>
    <t>SYS 10K</t>
  </si>
  <si>
    <t>JEROX</t>
  </si>
  <si>
    <t>PEACE</t>
  </si>
  <si>
    <t>SPIRO</t>
  </si>
  <si>
    <t>INCOME DAY</t>
  </si>
  <si>
    <t>Clinthen</t>
  </si>
  <si>
    <t>ssebuufu</t>
  </si>
  <si>
    <t>Ntambi</t>
  </si>
  <si>
    <t>Ramos</t>
  </si>
  <si>
    <t>Kabenge</t>
  </si>
  <si>
    <t>kyeyune</t>
  </si>
  <si>
    <t>Genesis</t>
  </si>
  <si>
    <t>Atayi</t>
  </si>
  <si>
    <t>Vivian</t>
  </si>
  <si>
    <t>Kuteesa</t>
  </si>
  <si>
    <t>Gideon</t>
  </si>
  <si>
    <t>Kanamwangi</t>
  </si>
  <si>
    <t>calvin</t>
  </si>
  <si>
    <t>lion</t>
  </si>
  <si>
    <t>ream</t>
  </si>
  <si>
    <t>Melvin</t>
  </si>
  <si>
    <t>Nsubuga</t>
  </si>
  <si>
    <t xml:space="preserve">Marvin </t>
  </si>
  <si>
    <t>Delvin</t>
  </si>
  <si>
    <t>Nalugo</t>
  </si>
  <si>
    <t>kelly</t>
  </si>
  <si>
    <t>jay</t>
  </si>
  <si>
    <t>Nabwire</t>
  </si>
  <si>
    <t>Getu</t>
  </si>
  <si>
    <t>Mulungi</t>
  </si>
  <si>
    <t>Josephine</t>
  </si>
  <si>
    <t>Kajjimu</t>
  </si>
  <si>
    <t>Arthur</t>
  </si>
  <si>
    <t>total enrollment    217</t>
  </si>
  <si>
    <t>p.7</t>
  </si>
  <si>
    <t>escorts</t>
  </si>
  <si>
    <t>e</t>
  </si>
  <si>
    <t>ended on Bajja  27th/07/2026</t>
  </si>
  <si>
    <t>cassava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</si>
</sst>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USh&quot;* #,##0_-;\-&quot;USh&quot;* #,##0_-;_-&quot;USh&quot;* &quot;-&quot;_-;_-@_-"/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3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6"/>
      <color theme="1"/>
      <name val="Times New Roman"/>
      <family val="1"/>
    </font>
    <font>
      <b/>
      <sz val="12"/>
      <color theme="7"/>
      <name val="Times New Roman"/>
      <family val="1"/>
    </font>
    <font>
      <b/>
      <sz val="18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20"/>
      <color theme="1"/>
      <name val="Times New Roman"/>
      <family val="1"/>
    </font>
    <font>
      <b/>
      <sz val="14"/>
      <name val="Times New Roman"/>
      <family val="1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FF0000"/>
      <name val="Times New Roman"/>
      <family val="1"/>
    </font>
    <font>
      <b/>
      <sz val="9"/>
      <name val="Times New Roman"/>
      <family val="1"/>
    </font>
    <font>
      <b/>
      <sz val="14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334">
    <xf numFmtId="0" fontId="0" fillId="0" borderId="0" xfId="0"/>
    <xf numFmtId="0" fontId="6" fillId="2" borderId="1" xfId="0" applyFont="1" applyFill="1" applyBorder="1"/>
    <xf numFmtId="0" fontId="7" fillId="2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8" fillId="2" borderId="1" xfId="0" applyFont="1" applyFill="1" applyBorder="1"/>
    <xf numFmtId="0" fontId="3" fillId="2" borderId="1" xfId="0" applyFont="1" applyFill="1" applyBorder="1"/>
    <xf numFmtId="0" fontId="8" fillId="3" borderId="1" xfId="0" applyFont="1" applyFill="1" applyBorder="1"/>
    <xf numFmtId="0" fontId="3" fillId="3" borderId="1" xfId="0" applyFont="1" applyFill="1" applyBorder="1"/>
    <xf numFmtId="0" fontId="8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7" fillId="6" borderId="1" xfId="0" applyFont="1" applyFill="1" applyBorder="1"/>
    <xf numFmtId="0" fontId="2" fillId="0" borderId="0" xfId="0" applyFont="1"/>
    <xf numFmtId="0" fontId="10" fillId="6" borderId="12" xfId="0" applyFont="1" applyFill="1" applyBorder="1"/>
    <xf numFmtId="164" fontId="2" fillId="0" borderId="0" xfId="1" applyFont="1"/>
    <xf numFmtId="164" fontId="0" fillId="0" borderId="0" xfId="0" applyNumberFormat="1"/>
    <xf numFmtId="164" fontId="0" fillId="0" borderId="0" xfId="1" applyFont="1"/>
    <xf numFmtId="0" fontId="11" fillId="0" borderId="4" xfId="0" applyFont="1" applyBorder="1"/>
    <xf numFmtId="0" fontId="12" fillId="6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2" fontId="12" fillId="0" borderId="5" xfId="2" applyFont="1" applyBorder="1" applyAlignment="1">
      <alignment horizontal="center" vertical="center" wrapText="1"/>
    </xf>
    <xf numFmtId="42" fontId="12" fillId="11" borderId="5" xfId="2" applyFont="1" applyFill="1" applyBorder="1" applyAlignment="1">
      <alignment horizontal="center" vertical="center" wrapText="1"/>
    </xf>
    <xf numFmtId="42" fontId="13" fillId="12" borderId="5" xfId="2" applyFont="1" applyFill="1" applyBorder="1" applyAlignment="1">
      <alignment horizontal="center" vertical="center" wrapText="1"/>
    </xf>
    <xf numFmtId="0" fontId="12" fillId="0" borderId="5" xfId="0" applyFont="1" applyBorder="1"/>
    <xf numFmtId="0" fontId="12" fillId="0" borderId="3" xfId="0" applyFont="1" applyBorder="1"/>
    <xf numFmtId="0" fontId="14" fillId="0" borderId="3" xfId="0" applyFont="1" applyBorder="1"/>
    <xf numFmtId="0" fontId="11" fillId="0" borderId="3" xfId="0" applyFont="1" applyBorder="1"/>
    <xf numFmtId="0" fontId="11" fillId="0" borderId="7" xfId="0" applyFont="1" applyBorder="1"/>
    <xf numFmtId="0" fontId="12" fillId="6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42" fontId="12" fillId="0" borderId="7" xfId="2" applyFont="1" applyBorder="1" applyAlignment="1">
      <alignment horizontal="center" vertical="center" wrapText="1"/>
    </xf>
    <xf numFmtId="42" fontId="12" fillId="11" borderId="7" xfId="2" applyFont="1" applyFill="1" applyBorder="1" applyAlignment="1">
      <alignment horizontal="center" vertical="center" wrapText="1"/>
    </xf>
    <xf numFmtId="42" fontId="12" fillId="6" borderId="7" xfId="2" applyFont="1" applyFill="1" applyBorder="1" applyAlignment="1">
      <alignment horizontal="center" vertical="center" wrapText="1"/>
    </xf>
    <xf numFmtId="42" fontId="13" fillId="12" borderId="1" xfId="2" applyFont="1" applyFill="1" applyBorder="1" applyAlignment="1">
      <alignment horizontal="center" vertical="center" wrapText="1"/>
    </xf>
    <xf numFmtId="0" fontId="12" fillId="0" borderId="7" xfId="0" applyFont="1" applyBorder="1"/>
    <xf numFmtId="0" fontId="12" fillId="0" borderId="0" xfId="0" applyFont="1"/>
    <xf numFmtId="0" fontId="11" fillId="0" borderId="0" xfId="0" applyFont="1"/>
    <xf numFmtId="0" fontId="11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2" fontId="12" fillId="0" borderId="1" xfId="2" applyFont="1" applyBorder="1" applyAlignment="1">
      <alignment horizontal="center" vertical="center" wrapText="1"/>
    </xf>
    <xf numFmtId="42" fontId="12" fillId="11" borderId="1" xfId="2" applyFont="1" applyFill="1" applyBorder="1" applyAlignment="1">
      <alignment horizontal="center" vertical="center" wrapText="1"/>
    </xf>
    <xf numFmtId="42" fontId="12" fillId="6" borderId="1" xfId="2" applyFont="1" applyFill="1" applyBorder="1" applyAlignment="1">
      <alignment horizontal="center" vertical="center" wrapText="1"/>
    </xf>
    <xf numFmtId="0" fontId="12" fillId="0" borderId="1" xfId="0" applyFont="1" applyBorder="1"/>
    <xf numFmtId="0" fontId="15" fillId="7" borderId="1" xfId="0" applyFont="1" applyFill="1" applyBorder="1"/>
    <xf numFmtId="0" fontId="16" fillId="7" borderId="1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42" fontId="16" fillId="7" borderId="1" xfId="2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0" xfId="0" applyFont="1"/>
    <xf numFmtId="0" fontId="15" fillId="0" borderId="0" xfId="0" applyFont="1"/>
    <xf numFmtId="0" fontId="11" fillId="4" borderId="1" xfId="0" applyFont="1" applyFill="1" applyBorder="1"/>
    <xf numFmtId="0" fontId="12" fillId="4" borderId="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2" fontId="12" fillId="4" borderId="1" xfId="2" applyFont="1" applyFill="1" applyBorder="1" applyAlignment="1">
      <alignment horizontal="center" vertical="center" wrapText="1"/>
    </xf>
    <xf numFmtId="42" fontId="13" fillId="4" borderId="1" xfId="2" applyFont="1" applyFill="1" applyBorder="1" applyAlignment="1">
      <alignment horizontal="center" vertical="center" wrapText="1"/>
    </xf>
    <xf numFmtId="0" fontId="12" fillId="4" borderId="1" xfId="0" applyFont="1" applyFill="1" applyBorder="1"/>
    <xf numFmtId="0" fontId="12" fillId="4" borderId="0" xfId="0" applyFont="1" applyFill="1"/>
    <xf numFmtId="0" fontId="11" fillId="4" borderId="0" xfId="0" applyFont="1" applyFill="1"/>
    <xf numFmtId="0" fontId="12" fillId="6" borderId="1" xfId="0" applyFont="1" applyFill="1" applyBorder="1" applyAlignment="1">
      <alignment horizontal="center" vertical="center" wrapText="1"/>
    </xf>
    <xf numFmtId="0" fontId="12" fillId="13" borderId="0" xfId="0" applyFont="1" applyFill="1"/>
    <xf numFmtId="0" fontId="17" fillId="0" borderId="1" xfId="0" applyFont="1" applyBorder="1" applyAlignment="1">
      <alignment horizontal="center" vertical="center" wrapText="1"/>
    </xf>
    <xf numFmtId="42" fontId="12" fillId="0" borderId="0" xfId="0" applyNumberFormat="1" applyFont="1"/>
    <xf numFmtId="0" fontId="12" fillId="5" borderId="1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42" fontId="12" fillId="5" borderId="1" xfId="2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1" fillId="5" borderId="0" xfId="0" applyFont="1" applyFill="1"/>
    <xf numFmtId="0" fontId="11" fillId="6" borderId="1" xfId="0" applyFont="1" applyFill="1" applyBorder="1"/>
    <xf numFmtId="0" fontId="12" fillId="6" borderId="9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42" fontId="13" fillId="6" borderId="1" xfId="2" applyFont="1" applyFill="1" applyBorder="1" applyAlignment="1">
      <alignment horizontal="center" vertical="center" wrapText="1"/>
    </xf>
    <xf numFmtId="0" fontId="12" fillId="6" borderId="1" xfId="0" applyFont="1" applyFill="1" applyBorder="1"/>
    <xf numFmtId="0" fontId="12" fillId="6" borderId="0" xfId="0" applyFont="1" applyFill="1"/>
    <xf numFmtId="0" fontId="11" fillId="6" borderId="0" xfId="0" applyFont="1" applyFill="1"/>
    <xf numFmtId="0" fontId="11" fillId="21" borderId="1" xfId="0" applyFont="1" applyFill="1" applyBorder="1"/>
    <xf numFmtId="0" fontId="12" fillId="21" borderId="1" xfId="0" applyFont="1" applyFill="1" applyBorder="1" applyAlignment="1">
      <alignment horizontal="center" vertical="center" wrapText="1"/>
    </xf>
    <xf numFmtId="0" fontId="12" fillId="21" borderId="9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42" fontId="12" fillId="21" borderId="1" xfId="2" applyFont="1" applyFill="1" applyBorder="1" applyAlignment="1">
      <alignment horizontal="center" vertical="center" wrapText="1"/>
    </xf>
    <xf numFmtId="42" fontId="13" fillId="21" borderId="1" xfId="2" applyFont="1" applyFill="1" applyBorder="1" applyAlignment="1">
      <alignment horizontal="center" vertical="center" wrapText="1"/>
    </xf>
    <xf numFmtId="0" fontId="12" fillId="21" borderId="1" xfId="0" applyFont="1" applyFill="1" applyBorder="1"/>
    <xf numFmtId="0" fontId="12" fillId="21" borderId="0" xfId="0" applyFont="1" applyFill="1"/>
    <xf numFmtId="0" fontId="11" fillId="21" borderId="0" xfId="0" applyFont="1" applyFill="1"/>
    <xf numFmtId="0" fontId="18" fillId="0" borderId="1" xfId="0" applyFont="1" applyBorder="1"/>
    <xf numFmtId="0" fontId="19" fillId="0" borderId="1" xfId="0" applyFont="1" applyBorder="1"/>
    <xf numFmtId="42" fontId="11" fillId="6" borderId="1" xfId="2" applyFont="1" applyFill="1" applyBorder="1" applyAlignment="1">
      <alignment horizontal="center" vertical="center" wrapText="1"/>
    </xf>
    <xf numFmtId="42" fontId="11" fillId="5" borderId="1" xfId="2" applyFont="1" applyFill="1" applyBorder="1" applyAlignment="1">
      <alignment horizontal="center" vertical="center" wrapText="1"/>
    </xf>
    <xf numFmtId="0" fontId="11" fillId="5" borderId="1" xfId="0" applyFont="1" applyFill="1" applyBorder="1"/>
    <xf numFmtId="42" fontId="11" fillId="0" borderId="0" xfId="0" applyNumberFormat="1" applyFont="1"/>
    <xf numFmtId="42" fontId="11" fillId="6" borderId="1" xfId="2" applyFont="1" applyFill="1" applyBorder="1" applyAlignment="1">
      <alignment horizontal="center" vertical="center"/>
    </xf>
    <xf numFmtId="42" fontId="20" fillId="12" borderId="1" xfId="2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2" fontId="11" fillId="4" borderId="1" xfId="2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wrapText="1"/>
    </xf>
    <xf numFmtId="0" fontId="12" fillId="9" borderId="9" xfId="0" applyFont="1" applyFill="1" applyBorder="1" applyAlignment="1">
      <alignment wrapText="1"/>
    </xf>
    <xf numFmtId="0" fontId="11" fillId="9" borderId="1" xfId="0" applyFont="1" applyFill="1" applyBorder="1" applyAlignment="1">
      <alignment wrapText="1"/>
    </xf>
    <xf numFmtId="42" fontId="11" fillId="6" borderId="1" xfId="2" applyFont="1" applyFill="1" applyBorder="1"/>
    <xf numFmtId="0" fontId="11" fillId="14" borderId="1" xfId="0" applyFont="1" applyFill="1" applyBorder="1"/>
    <xf numFmtId="0" fontId="11" fillId="13" borderId="0" xfId="0" applyFont="1" applyFill="1"/>
    <xf numFmtId="42" fontId="12" fillId="6" borderId="0" xfId="0" applyNumberFormat="1" applyFont="1" applyFill="1"/>
    <xf numFmtId="0" fontId="11" fillId="20" borderId="1" xfId="0" applyFont="1" applyFill="1" applyBorder="1"/>
    <xf numFmtId="0" fontId="12" fillId="20" borderId="1" xfId="0" applyFont="1" applyFill="1" applyBorder="1" applyAlignment="1">
      <alignment horizontal="center" vertical="center" wrapText="1"/>
    </xf>
    <xf numFmtId="0" fontId="12" fillId="20" borderId="9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42" fontId="12" fillId="20" borderId="1" xfId="2" applyFont="1" applyFill="1" applyBorder="1" applyAlignment="1">
      <alignment horizontal="center" vertical="center" wrapText="1"/>
    </xf>
    <xf numFmtId="42" fontId="11" fillId="20" borderId="1" xfId="2" applyFont="1" applyFill="1" applyBorder="1" applyAlignment="1">
      <alignment horizontal="center" vertical="center" wrapText="1"/>
    </xf>
    <xf numFmtId="42" fontId="12" fillId="20" borderId="0" xfId="0" applyNumberFormat="1" applyFont="1" applyFill="1"/>
    <xf numFmtId="0" fontId="11" fillId="20" borderId="0" xfId="0" applyFont="1" applyFill="1"/>
    <xf numFmtId="42" fontId="12" fillId="13" borderId="0" xfId="0" applyNumberFormat="1" applyFont="1" applyFill="1"/>
    <xf numFmtId="0" fontId="11" fillId="7" borderId="1" xfId="0" applyFont="1" applyFill="1" applyBorder="1"/>
    <xf numFmtId="0" fontId="12" fillId="7" borderId="1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42" fontId="12" fillId="7" borderId="1" xfId="2" applyFont="1" applyFill="1" applyBorder="1" applyAlignment="1">
      <alignment horizontal="center" vertical="center" wrapText="1"/>
    </xf>
    <xf numFmtId="42" fontId="11" fillId="7" borderId="1" xfId="2" applyFont="1" applyFill="1" applyBorder="1" applyAlignment="1">
      <alignment horizontal="center" vertical="center" wrapText="1"/>
    </xf>
    <xf numFmtId="42" fontId="13" fillId="7" borderId="1" xfId="2" applyFont="1" applyFill="1" applyBorder="1" applyAlignment="1">
      <alignment horizontal="center" vertical="center" wrapText="1"/>
    </xf>
    <xf numFmtId="42" fontId="12" fillId="7" borderId="0" xfId="0" applyNumberFormat="1" applyFont="1" applyFill="1"/>
    <xf numFmtId="0" fontId="11" fillId="7" borderId="0" xfId="0" applyFont="1" applyFill="1"/>
    <xf numFmtId="0" fontId="12" fillId="6" borderId="1" xfId="0" applyFont="1" applyFill="1" applyBorder="1" applyAlignment="1">
      <alignment wrapText="1"/>
    </xf>
    <xf numFmtId="0" fontId="12" fillId="6" borderId="9" xfId="0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42" fontId="11" fillId="4" borderId="1" xfId="2" applyFont="1" applyFill="1" applyBorder="1"/>
    <xf numFmtId="0" fontId="11" fillId="15" borderId="1" xfId="0" applyFont="1" applyFill="1" applyBorder="1"/>
    <xf numFmtId="0" fontId="12" fillId="10" borderId="1" xfId="0" applyFont="1" applyFill="1" applyBorder="1" applyAlignment="1">
      <alignment wrapText="1"/>
    </xf>
    <xf numFmtId="0" fontId="12" fillId="10" borderId="9" xfId="0" applyFont="1" applyFill="1" applyBorder="1" applyAlignment="1">
      <alignment wrapText="1"/>
    </xf>
    <xf numFmtId="0" fontId="11" fillId="10" borderId="1" xfId="0" applyFont="1" applyFill="1" applyBorder="1" applyAlignment="1">
      <alignment wrapText="1"/>
    </xf>
    <xf numFmtId="42" fontId="11" fillId="10" borderId="1" xfId="2" applyFont="1" applyFill="1" applyBorder="1"/>
    <xf numFmtId="0" fontId="11" fillId="10" borderId="1" xfId="0" applyFont="1" applyFill="1" applyBorder="1"/>
    <xf numFmtId="42" fontId="11" fillId="6" borderId="11" xfId="2" applyFont="1" applyFill="1" applyBorder="1"/>
    <xf numFmtId="0" fontId="11" fillId="6" borderId="11" xfId="0" applyFont="1" applyFill="1" applyBorder="1"/>
    <xf numFmtId="0" fontId="12" fillId="8" borderId="1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42" fontId="11" fillId="8" borderId="1" xfId="2" applyFont="1" applyFill="1" applyBorder="1" applyAlignment="1">
      <alignment horizontal="center" vertical="center" wrapText="1"/>
    </xf>
    <xf numFmtId="0" fontId="11" fillId="16" borderId="1" xfId="0" applyFont="1" applyFill="1" applyBorder="1"/>
    <xf numFmtId="0" fontId="21" fillId="5" borderId="1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42" fontId="22" fillId="5" borderId="1" xfId="2" applyFont="1" applyFill="1" applyBorder="1" applyAlignment="1">
      <alignment horizontal="center" vertical="center" wrapText="1"/>
    </xf>
    <xf numFmtId="0" fontId="22" fillId="5" borderId="0" xfId="0" applyFont="1" applyFill="1"/>
    <xf numFmtId="0" fontId="22" fillId="0" borderId="0" xfId="0" applyFont="1"/>
    <xf numFmtId="0" fontId="21" fillId="6" borderId="1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42" fontId="22" fillId="6" borderId="1" xfId="2" applyFont="1" applyFill="1" applyBorder="1" applyAlignment="1">
      <alignment horizontal="center" vertical="center" wrapText="1"/>
    </xf>
    <xf numFmtId="0" fontId="22" fillId="17" borderId="0" xfId="0" applyFont="1" applyFill="1"/>
    <xf numFmtId="0" fontId="22" fillId="6" borderId="0" xfId="0" applyFont="1" applyFill="1"/>
    <xf numFmtId="42" fontId="11" fillId="11" borderId="1" xfId="2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wrapText="1"/>
    </xf>
    <xf numFmtId="0" fontId="12" fillId="14" borderId="1" xfId="0" applyFont="1" applyFill="1" applyBorder="1" applyAlignment="1">
      <alignment wrapText="1"/>
    </xf>
    <xf numFmtId="0" fontId="12" fillId="14" borderId="9" xfId="0" applyFont="1" applyFill="1" applyBorder="1" applyAlignment="1">
      <alignment wrapText="1"/>
    </xf>
    <xf numFmtId="0" fontId="11" fillId="14" borderId="1" xfId="0" applyFont="1" applyFill="1" applyBorder="1" applyAlignment="1">
      <alignment wrapText="1"/>
    </xf>
    <xf numFmtId="42" fontId="11" fillId="11" borderId="1" xfId="2" applyFont="1" applyFill="1" applyBorder="1"/>
    <xf numFmtId="0" fontId="11" fillId="9" borderId="1" xfId="0" applyFont="1" applyFill="1" applyBorder="1"/>
    <xf numFmtId="42" fontId="22" fillId="0" borderId="0" xfId="0" applyNumberFormat="1" applyFont="1"/>
    <xf numFmtId="0" fontId="22" fillId="13" borderId="0" xfId="0" applyFont="1" applyFill="1"/>
    <xf numFmtId="0" fontId="12" fillId="14" borderId="10" xfId="0" applyFont="1" applyFill="1" applyBorder="1" applyAlignment="1">
      <alignment wrapText="1"/>
    </xf>
    <xf numFmtId="0" fontId="11" fillId="14" borderId="11" xfId="0" applyFont="1" applyFill="1" applyBorder="1" applyAlignment="1">
      <alignment wrapText="1"/>
    </xf>
    <xf numFmtId="42" fontId="11" fillId="11" borderId="11" xfId="2" applyFont="1" applyFill="1" applyBorder="1"/>
    <xf numFmtId="0" fontId="11" fillId="18" borderId="11" xfId="0" applyFont="1" applyFill="1" applyBorder="1"/>
    <xf numFmtId="0" fontId="22" fillId="10" borderId="1" xfId="0" applyFont="1" applyFill="1" applyBorder="1" applyAlignment="1">
      <alignment wrapText="1"/>
    </xf>
    <xf numFmtId="42" fontId="22" fillId="10" borderId="11" xfId="2" applyFont="1" applyFill="1" applyBorder="1"/>
    <xf numFmtId="0" fontId="11" fillId="10" borderId="11" xfId="0" applyFont="1" applyFill="1" applyBorder="1"/>
    <xf numFmtId="0" fontId="11" fillId="18" borderId="1" xfId="0" applyFont="1" applyFill="1" applyBorder="1"/>
    <xf numFmtId="42" fontId="13" fillId="12" borderId="11" xfId="2" applyFont="1" applyFill="1" applyBorder="1" applyAlignment="1">
      <alignment horizontal="center" vertical="center" wrapText="1"/>
    </xf>
    <xf numFmtId="0" fontId="22" fillId="6" borderId="1" xfId="0" applyFont="1" applyFill="1" applyBorder="1"/>
    <xf numFmtId="42" fontId="13" fillId="12" borderId="7" xfId="2" applyFont="1" applyFill="1" applyBorder="1" applyAlignment="1">
      <alignment horizontal="center" vertical="center" wrapText="1"/>
    </xf>
    <xf numFmtId="0" fontId="14" fillId="9" borderId="1" xfId="0" applyFont="1" applyFill="1" applyBorder="1"/>
    <xf numFmtId="0" fontId="11" fillId="14" borderId="0" xfId="0" applyFont="1" applyFill="1"/>
    <xf numFmtId="0" fontId="12" fillId="8" borderId="1" xfId="0" applyFont="1" applyFill="1" applyBorder="1" applyAlignment="1">
      <alignment wrapText="1"/>
    </xf>
    <xf numFmtId="0" fontId="12" fillId="8" borderId="9" xfId="0" applyFont="1" applyFill="1" applyBorder="1" applyAlignment="1">
      <alignment wrapText="1"/>
    </xf>
    <xf numFmtId="0" fontId="11" fillId="8" borderId="1" xfId="0" applyFont="1" applyFill="1" applyBorder="1" applyAlignment="1">
      <alignment wrapText="1"/>
    </xf>
    <xf numFmtId="42" fontId="11" fillId="8" borderId="1" xfId="2" applyFont="1" applyFill="1" applyBorder="1"/>
    <xf numFmtId="0" fontId="11" fillId="8" borderId="1" xfId="0" applyFont="1" applyFill="1" applyBorder="1"/>
    <xf numFmtId="42" fontId="11" fillId="13" borderId="0" xfId="0" applyNumberFormat="1" applyFont="1" applyFill="1"/>
    <xf numFmtId="0" fontId="15" fillId="6" borderId="1" xfId="0" applyFont="1" applyFill="1" applyBorder="1"/>
    <xf numFmtId="0" fontId="12" fillId="5" borderId="1" xfId="0" applyFont="1" applyFill="1" applyBorder="1" applyAlignment="1">
      <alignment wrapText="1"/>
    </xf>
    <xf numFmtId="0" fontId="12" fillId="5" borderId="9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42" fontId="11" fillId="5" borderId="1" xfId="2" applyFont="1" applyFill="1" applyBorder="1"/>
    <xf numFmtId="0" fontId="21" fillId="5" borderId="1" xfId="0" applyFont="1" applyFill="1" applyBorder="1" applyAlignment="1">
      <alignment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42" fontId="22" fillId="4" borderId="1" xfId="2" applyFont="1" applyFill="1" applyBorder="1" applyAlignment="1">
      <alignment horizontal="center" vertical="center" wrapText="1"/>
    </xf>
    <xf numFmtId="0" fontId="22" fillId="4" borderId="0" xfId="0" applyFont="1" applyFill="1"/>
    <xf numFmtId="0" fontId="14" fillId="6" borderId="1" xfId="0" applyFont="1" applyFill="1" applyBorder="1"/>
    <xf numFmtId="0" fontId="21" fillId="6" borderId="1" xfId="0" applyFont="1" applyFill="1" applyBorder="1" applyAlignment="1">
      <alignment wrapText="1"/>
    </xf>
    <xf numFmtId="0" fontId="21" fillId="4" borderId="1" xfId="0" applyFont="1" applyFill="1" applyBorder="1" applyAlignment="1">
      <alignment wrapText="1"/>
    </xf>
    <xf numFmtId="42" fontId="12" fillId="4" borderId="0" xfId="0" applyNumberFormat="1" applyFont="1" applyFill="1"/>
    <xf numFmtId="0" fontId="14" fillId="6" borderId="1" xfId="0" applyFont="1" applyFill="1" applyBorder="1" applyAlignment="1">
      <alignment wrapText="1"/>
    </xf>
    <xf numFmtId="0" fontId="21" fillId="8" borderId="1" xfId="0" applyFont="1" applyFill="1" applyBorder="1" applyAlignment="1">
      <alignment wrapText="1"/>
    </xf>
    <xf numFmtId="0" fontId="12" fillId="4" borderId="9" xfId="0" applyFont="1" applyFill="1" applyBorder="1"/>
    <xf numFmtId="42" fontId="11" fillId="19" borderId="1" xfId="2" applyFont="1" applyFill="1" applyBorder="1"/>
    <xf numFmtId="0" fontId="23" fillId="9" borderId="9" xfId="0" applyFont="1" applyFill="1" applyBorder="1" applyAlignment="1">
      <alignment wrapText="1"/>
    </xf>
    <xf numFmtId="0" fontId="12" fillId="16" borderId="1" xfId="0" applyFont="1" applyFill="1" applyBorder="1" applyAlignment="1">
      <alignment wrapText="1"/>
    </xf>
    <xf numFmtId="0" fontId="12" fillId="16" borderId="9" xfId="0" applyFont="1" applyFill="1" applyBorder="1" applyAlignment="1">
      <alignment wrapText="1"/>
    </xf>
    <xf numFmtId="0" fontId="11" fillId="16" borderId="1" xfId="0" applyFont="1" applyFill="1" applyBorder="1" applyAlignment="1">
      <alignment wrapText="1"/>
    </xf>
    <xf numFmtId="42" fontId="11" fillId="16" borderId="1" xfId="2" applyFont="1" applyFill="1" applyBorder="1"/>
    <xf numFmtId="0" fontId="24" fillId="9" borderId="1" xfId="0" applyFont="1" applyFill="1" applyBorder="1"/>
    <xf numFmtId="0" fontId="12" fillId="19" borderId="9" xfId="0" applyFont="1" applyFill="1" applyBorder="1" applyAlignment="1">
      <alignment wrapText="1"/>
    </xf>
    <xf numFmtId="0" fontId="11" fillId="19" borderId="1" xfId="0" applyFont="1" applyFill="1" applyBorder="1" applyAlignment="1">
      <alignment wrapText="1"/>
    </xf>
    <xf numFmtId="0" fontId="11" fillId="19" borderId="1" xfId="0" applyFont="1" applyFill="1" applyBorder="1"/>
    <xf numFmtId="42" fontId="12" fillId="8" borderId="1" xfId="2" applyFont="1" applyFill="1" applyBorder="1" applyAlignment="1">
      <alignment horizontal="center" vertical="center" wrapText="1"/>
    </xf>
    <xf numFmtId="42" fontId="13" fillId="8" borderId="1" xfId="2" applyFont="1" applyFill="1" applyBorder="1" applyAlignment="1">
      <alignment horizontal="center" vertical="center" wrapText="1"/>
    </xf>
    <xf numFmtId="0" fontId="11" fillId="8" borderId="0" xfId="0" applyFont="1" applyFill="1"/>
    <xf numFmtId="42" fontId="11" fillId="0" borderId="1" xfId="0" applyNumberFormat="1" applyFont="1" applyBorder="1"/>
    <xf numFmtId="165" fontId="11" fillId="0" borderId="1" xfId="1" applyNumberFormat="1" applyFont="1" applyBorder="1"/>
    <xf numFmtId="164" fontId="11" fillId="0" borderId="0" xfId="0" applyNumberFormat="1" applyFont="1"/>
    <xf numFmtId="0" fontId="11" fillId="13" borderId="1" xfId="0" applyFont="1" applyFill="1" applyBorder="1"/>
    <xf numFmtId="42" fontId="13" fillId="4" borderId="11" xfId="2" applyFont="1" applyFill="1" applyBorder="1" applyAlignment="1">
      <alignment horizontal="center" vertical="center" wrapText="1"/>
    </xf>
    <xf numFmtId="0" fontId="22" fillId="4" borderId="1" xfId="0" applyFont="1" applyFill="1" applyBorder="1"/>
    <xf numFmtId="0" fontId="11" fillId="0" borderId="11" xfId="0" applyFont="1" applyBorder="1"/>
    <xf numFmtId="0" fontId="12" fillId="6" borderId="11" xfId="0" applyFont="1" applyFill="1" applyBorder="1" applyAlignment="1">
      <alignment wrapText="1"/>
    </xf>
    <xf numFmtId="0" fontId="21" fillId="6" borderId="11" xfId="0" applyFont="1" applyFill="1" applyBorder="1" applyAlignment="1">
      <alignment wrapText="1"/>
    </xf>
    <xf numFmtId="0" fontId="12" fillId="6" borderId="10" xfId="0" applyFont="1" applyFill="1" applyBorder="1" applyAlignment="1">
      <alignment wrapText="1"/>
    </xf>
    <xf numFmtId="0" fontId="12" fillId="14" borderId="11" xfId="0" applyFont="1" applyFill="1" applyBorder="1" applyAlignment="1">
      <alignment wrapText="1"/>
    </xf>
    <xf numFmtId="0" fontId="11" fillId="6" borderId="11" xfId="0" applyFont="1" applyFill="1" applyBorder="1" applyAlignment="1">
      <alignment wrapText="1"/>
    </xf>
    <xf numFmtId="42" fontId="12" fillId="0" borderId="11" xfId="2" applyFont="1" applyBorder="1" applyAlignment="1">
      <alignment horizontal="center" vertical="center" wrapText="1"/>
    </xf>
    <xf numFmtId="42" fontId="12" fillId="11" borderId="11" xfId="2" applyFont="1" applyFill="1" applyBorder="1" applyAlignment="1">
      <alignment horizontal="center" vertical="center" wrapText="1"/>
    </xf>
    <xf numFmtId="42" fontId="11" fillId="0" borderId="7" xfId="0" applyNumberFormat="1" applyFont="1" applyBorder="1"/>
    <xf numFmtId="165" fontId="11" fillId="0" borderId="7" xfId="1" applyNumberFormat="1" applyFont="1" applyBorder="1"/>
    <xf numFmtId="0" fontId="26" fillId="0" borderId="0" xfId="0" applyFont="1"/>
    <xf numFmtId="165" fontId="26" fillId="0" borderId="0" xfId="1" applyNumberFormat="1" applyFont="1"/>
    <xf numFmtId="165" fontId="26" fillId="0" borderId="0" xfId="0" applyNumberFormat="1" applyFont="1"/>
    <xf numFmtId="0" fontId="27" fillId="0" borderId="0" xfId="0" applyFont="1"/>
    <xf numFmtId="0" fontId="1" fillId="0" borderId="0" xfId="0" applyFont="1"/>
    <xf numFmtId="0" fontId="28" fillId="0" borderId="0" xfId="0" applyFont="1"/>
    <xf numFmtId="0" fontId="27" fillId="4" borderId="1" xfId="0" applyFont="1" applyFill="1" applyBorder="1"/>
    <xf numFmtId="41" fontId="27" fillId="0" borderId="0" xfId="3" applyFont="1"/>
    <xf numFmtId="41" fontId="27" fillId="4" borderId="1" xfId="3" applyFont="1" applyFill="1" applyBorder="1"/>
    <xf numFmtId="41" fontId="27" fillId="0" borderId="0" xfId="0" applyNumberFormat="1" applyFont="1"/>
    <xf numFmtId="41" fontId="27" fillId="4" borderId="0" xfId="3" applyFont="1" applyFill="1"/>
    <xf numFmtId="0" fontId="27" fillId="4" borderId="0" xfId="0" applyFont="1" applyFill="1"/>
    <xf numFmtId="41" fontId="27" fillId="0" borderId="1" xfId="3" applyFont="1" applyBorder="1"/>
    <xf numFmtId="41" fontId="27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41" fontId="28" fillId="0" borderId="1" xfId="3" applyFont="1" applyBorder="1"/>
    <xf numFmtId="41" fontId="27" fillId="5" borderId="1" xfId="3" applyFont="1" applyFill="1" applyBorder="1"/>
    <xf numFmtId="0" fontId="29" fillId="5" borderId="0" xfId="0" applyFont="1" applyFill="1"/>
    <xf numFmtId="41" fontId="29" fillId="22" borderId="1" xfId="3" applyFont="1" applyFill="1" applyBorder="1"/>
    <xf numFmtId="41" fontId="27" fillId="4" borderId="1" xfId="0" applyNumberFormat="1" applyFont="1" applyFill="1" applyBorder="1"/>
    <xf numFmtId="41" fontId="27" fillId="23" borderId="1" xfId="3" applyFont="1" applyFill="1" applyBorder="1"/>
    <xf numFmtId="41" fontId="27" fillId="23" borderId="1" xfId="0" applyNumberFormat="1" applyFont="1" applyFill="1" applyBorder="1"/>
    <xf numFmtId="41" fontId="27" fillId="6" borderId="1" xfId="3" applyFont="1" applyFill="1" applyBorder="1"/>
    <xf numFmtId="0" fontId="30" fillId="4" borderId="1" xfId="0" applyFont="1" applyFill="1" applyBorder="1" applyAlignment="1">
      <alignment horizontal="center" vertical="center" wrapText="1"/>
    </xf>
    <xf numFmtId="0" fontId="0" fillId="6" borderId="0" xfId="0" applyFill="1"/>
    <xf numFmtId="0" fontId="12" fillId="21" borderId="1" xfId="0" applyFont="1" applyFill="1" applyBorder="1" applyAlignment="1">
      <alignment wrapText="1"/>
    </xf>
    <xf numFmtId="0" fontId="12" fillId="21" borderId="9" xfId="0" applyFont="1" applyFill="1" applyBorder="1" applyAlignment="1">
      <alignment wrapText="1"/>
    </xf>
    <xf numFmtId="0" fontId="11" fillId="21" borderId="1" xfId="0" applyFont="1" applyFill="1" applyBorder="1" applyAlignment="1">
      <alignment wrapText="1"/>
    </xf>
    <xf numFmtId="42" fontId="12" fillId="21" borderId="7" xfId="2" applyFont="1" applyFill="1" applyBorder="1" applyAlignment="1">
      <alignment horizontal="center" vertical="center" wrapText="1"/>
    </xf>
    <xf numFmtId="42" fontId="11" fillId="21" borderId="1" xfId="2" applyFont="1" applyFill="1" applyBorder="1"/>
    <xf numFmtId="0" fontId="0" fillId="21" borderId="0" xfId="0" applyFill="1"/>
    <xf numFmtId="0" fontId="22" fillId="6" borderId="0" xfId="0" applyFont="1" applyFill="1" applyAlignment="1">
      <alignment vertical="center"/>
    </xf>
    <xf numFmtId="42" fontId="12" fillId="16" borderId="1" xfId="2" applyFont="1" applyFill="1" applyBorder="1" applyAlignment="1">
      <alignment horizontal="center" vertical="center" wrapText="1"/>
    </xf>
    <xf numFmtId="42" fontId="12" fillId="16" borderId="7" xfId="2" applyFont="1" applyFill="1" applyBorder="1" applyAlignment="1">
      <alignment horizontal="center" vertical="center" wrapText="1"/>
    </xf>
    <xf numFmtId="42" fontId="13" fillId="16" borderId="1" xfId="2" applyFont="1" applyFill="1" applyBorder="1" applyAlignment="1">
      <alignment horizontal="center" vertical="center" wrapText="1"/>
    </xf>
    <xf numFmtId="0" fontId="11" fillId="16" borderId="0" xfId="0" applyFont="1" applyFill="1"/>
    <xf numFmtId="0" fontId="0" fillId="16" borderId="0" xfId="0" applyFill="1"/>
    <xf numFmtId="0" fontId="12" fillId="24" borderId="1" xfId="0" applyFont="1" applyFill="1" applyBorder="1" applyAlignment="1">
      <alignment wrapText="1"/>
    </xf>
    <xf numFmtId="0" fontId="21" fillId="24" borderId="1" xfId="0" applyFont="1" applyFill="1" applyBorder="1" applyAlignment="1">
      <alignment wrapText="1"/>
    </xf>
    <xf numFmtId="0" fontId="12" fillId="24" borderId="9" xfId="0" applyFont="1" applyFill="1" applyBorder="1" applyAlignment="1">
      <alignment wrapText="1"/>
    </xf>
    <xf numFmtId="0" fontId="11" fillId="24" borderId="1" xfId="0" applyFont="1" applyFill="1" applyBorder="1" applyAlignment="1">
      <alignment wrapText="1"/>
    </xf>
    <xf numFmtId="42" fontId="12" fillId="24" borderId="1" xfId="2" applyFont="1" applyFill="1" applyBorder="1" applyAlignment="1">
      <alignment horizontal="center" vertical="center" wrapText="1"/>
    </xf>
    <xf numFmtId="42" fontId="12" fillId="24" borderId="7" xfId="2" applyFont="1" applyFill="1" applyBorder="1" applyAlignment="1">
      <alignment horizontal="center" vertical="center" wrapText="1"/>
    </xf>
    <xf numFmtId="42" fontId="11" fillId="24" borderId="1" xfId="2" applyFont="1" applyFill="1" applyBorder="1"/>
    <xf numFmtId="42" fontId="13" fillId="24" borderId="1" xfId="2" applyFont="1" applyFill="1" applyBorder="1" applyAlignment="1">
      <alignment horizontal="center" vertical="center" wrapText="1"/>
    </xf>
    <xf numFmtId="0" fontId="11" fillId="24" borderId="1" xfId="0" applyFont="1" applyFill="1" applyBorder="1"/>
    <xf numFmtId="0" fontId="11" fillId="24" borderId="0" xfId="0" applyFont="1" applyFill="1"/>
    <xf numFmtId="0" fontId="0" fillId="24" borderId="0" xfId="0" applyFill="1"/>
    <xf numFmtId="0" fontId="12" fillId="6" borderId="0" xfId="0" applyFont="1" applyFill="1" applyAlignment="1">
      <alignment wrapText="1"/>
    </xf>
    <xf numFmtId="0" fontId="21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  <xf numFmtId="42" fontId="12" fillId="6" borderId="0" xfId="2" applyFont="1" applyFill="1" applyBorder="1" applyAlignment="1">
      <alignment horizontal="center" vertical="center" wrapText="1"/>
    </xf>
    <xf numFmtId="42" fontId="22" fillId="6" borderId="0" xfId="2" applyFont="1" applyFill="1" applyBorder="1" applyAlignment="1">
      <alignment horizontal="center" vertical="center" wrapText="1"/>
    </xf>
    <xf numFmtId="42" fontId="13" fillId="4" borderId="14" xfId="2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42" fontId="12" fillId="6" borderId="11" xfId="2" applyFont="1" applyFill="1" applyBorder="1" applyAlignment="1">
      <alignment horizontal="center" vertical="center" wrapText="1"/>
    </xf>
    <xf numFmtId="42" fontId="12" fillId="11" borderId="14" xfId="2" applyFont="1" applyFill="1" applyBorder="1" applyAlignment="1">
      <alignment horizontal="center" vertical="center" wrapText="1"/>
    </xf>
    <xf numFmtId="42" fontId="22" fillId="6" borderId="11" xfId="2" applyFont="1" applyFill="1" applyBorder="1" applyAlignment="1">
      <alignment horizontal="center" vertical="center" wrapText="1"/>
    </xf>
    <xf numFmtId="0" fontId="22" fillId="6" borderId="11" xfId="0" applyFont="1" applyFill="1" applyBorder="1"/>
    <xf numFmtId="0" fontId="0" fillId="0" borderId="1" xfId="0" applyBorder="1"/>
    <xf numFmtId="42" fontId="13" fillId="6" borderId="11" xfId="2" applyFont="1" applyFill="1" applyBorder="1" applyAlignment="1">
      <alignment horizontal="center" vertical="center" wrapText="1"/>
    </xf>
    <xf numFmtId="0" fontId="12" fillId="21" borderId="11" xfId="0" applyFont="1" applyFill="1" applyBorder="1" applyAlignment="1">
      <alignment wrapText="1"/>
    </xf>
    <xf numFmtId="0" fontId="21" fillId="21" borderId="11" xfId="0" applyFont="1" applyFill="1" applyBorder="1" applyAlignment="1">
      <alignment horizontal="center" vertical="center" wrapText="1"/>
    </xf>
    <xf numFmtId="0" fontId="22" fillId="21" borderId="11" xfId="0" applyFont="1" applyFill="1" applyBorder="1" applyAlignment="1">
      <alignment horizontal="center" vertical="center" wrapText="1"/>
    </xf>
    <xf numFmtId="42" fontId="12" fillId="21" borderId="11" xfId="2" applyFont="1" applyFill="1" applyBorder="1" applyAlignment="1">
      <alignment horizontal="center" vertical="center" wrapText="1"/>
    </xf>
    <xf numFmtId="42" fontId="12" fillId="21" borderId="14" xfId="2" applyFont="1" applyFill="1" applyBorder="1" applyAlignment="1">
      <alignment horizontal="center" vertical="center" wrapText="1"/>
    </xf>
    <xf numFmtId="42" fontId="22" fillId="21" borderId="11" xfId="2" applyFont="1" applyFill="1" applyBorder="1" applyAlignment="1">
      <alignment horizontal="center" vertical="center" wrapText="1"/>
    </xf>
    <xf numFmtId="42" fontId="13" fillId="21" borderId="11" xfId="2" applyFont="1" applyFill="1" applyBorder="1" applyAlignment="1">
      <alignment horizontal="center" vertical="center" wrapText="1"/>
    </xf>
    <xf numFmtId="0" fontId="22" fillId="21" borderId="11" xfId="0" applyFont="1" applyFill="1" applyBorder="1"/>
    <xf numFmtId="0" fontId="11" fillId="21" borderId="11" xfId="0" applyFont="1" applyFill="1" applyBorder="1"/>
    <xf numFmtId="42" fontId="12" fillId="6" borderId="14" xfId="2" applyFont="1" applyFill="1" applyBorder="1" applyAlignment="1">
      <alignment horizontal="center" vertical="center" wrapText="1"/>
    </xf>
    <xf numFmtId="0" fontId="31" fillId="0" borderId="0" xfId="0" applyFont="1"/>
    <xf numFmtId="0" fontId="6" fillId="25" borderId="1" xfId="0" applyFont="1" applyFill="1" applyBorder="1"/>
    <xf numFmtId="0" fontId="7" fillId="25" borderId="1" xfId="0" applyFont="1" applyFill="1" applyBorder="1"/>
    <xf numFmtId="0" fontId="8" fillId="25" borderId="1" xfId="0" applyFont="1" applyFill="1" applyBorder="1"/>
    <xf numFmtId="0" fontId="3" fillId="25" borderId="1" xfId="0" applyFont="1" applyFill="1" applyBorder="1"/>
    <xf numFmtId="0" fontId="12" fillId="9" borderId="11" xfId="0" applyFont="1" applyFill="1" applyBorder="1" applyAlignment="1">
      <alignment wrapText="1"/>
    </xf>
    <xf numFmtId="0" fontId="12" fillId="0" borderId="11" xfId="0" applyFont="1" applyBorder="1"/>
    <xf numFmtId="0" fontId="12" fillId="9" borderId="10" xfId="0" applyFont="1" applyFill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11" fillId="9" borderId="11" xfId="0" applyFont="1" applyFill="1" applyBorder="1" applyAlignment="1">
      <alignment wrapText="1"/>
    </xf>
    <xf numFmtId="0" fontId="11" fillId="14" borderId="11" xfId="0" applyFont="1" applyFill="1" applyBorder="1"/>
    <xf numFmtId="0" fontId="12" fillId="6" borderId="7" xfId="0" applyFont="1" applyFill="1" applyBorder="1" applyAlignment="1">
      <alignment wrapText="1"/>
    </xf>
    <xf numFmtId="0" fontId="12" fillId="9" borderId="7" xfId="0" applyFont="1" applyFill="1" applyBorder="1" applyAlignment="1">
      <alignment wrapText="1"/>
    </xf>
    <xf numFmtId="0" fontId="12" fillId="9" borderId="8" xfId="0" applyFont="1" applyFill="1" applyBorder="1" applyAlignment="1">
      <alignment wrapText="1"/>
    </xf>
    <xf numFmtId="0" fontId="11" fillId="9" borderId="7" xfId="0" applyFont="1" applyFill="1" applyBorder="1" applyAlignment="1">
      <alignment wrapText="1"/>
    </xf>
    <xf numFmtId="42" fontId="11" fillId="6" borderId="7" xfId="2" applyFont="1" applyFill="1" applyBorder="1"/>
    <xf numFmtId="0" fontId="11" fillId="14" borderId="7" xfId="0" applyFont="1" applyFill="1" applyBorder="1"/>
    <xf numFmtId="0" fontId="26" fillId="0" borderId="1" xfId="0" applyFont="1" applyBorder="1"/>
    <xf numFmtId="0" fontId="3" fillId="0" borderId="0" xfId="0" applyFont="1" applyAlignment="1">
      <alignment horizontal="center"/>
    </xf>
    <xf numFmtId="0" fontId="4" fillId="2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41" fontId="28" fillId="0" borderId="1" xfId="3" applyFont="1" applyBorder="1" applyAlignment="1">
      <alignment horizontal="center"/>
    </xf>
    <xf numFmtId="41" fontId="27" fillId="0" borderId="13" xfId="3" applyFont="1" applyBorder="1" applyAlignment="1">
      <alignment horizontal="center"/>
    </xf>
    <xf numFmtId="41" fontId="27" fillId="0" borderId="9" xfId="3" applyFont="1" applyBorder="1" applyAlignment="1">
      <alignment horizontal="center"/>
    </xf>
  </cellXfs>
  <cellStyles count="4">
    <cellStyle name="Comma" xfId="1" builtinId="3"/>
    <cellStyle name="Comma [0]" xfId="3" builtinId="6"/>
    <cellStyle name="Currency [0] 2" xfId="2" xr:uid="{00000000-0005-0000-0000-00003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ccounts%202025%20term1/accounts%202025/school%20fees%202025.xlsx%20update.xlsx" TargetMode="External"/><Relationship Id="rId2" Type="http://schemas.openxmlformats.org/officeDocument/2006/relationships/externalLinkPath" Target="file:///D:\accounts%202025%20term1\accounts%202025\school%20fees%202025.xlsx%20update.xlsx" TargetMode="External"/><Relationship Id="rId1" Type="http://schemas.openxmlformats.org/officeDocument/2006/relationships/externalLinkPath" Target="/accounts%202025%20term1/accounts%202025/school%20fees%202025.xlsx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st term 2025"/>
      <sheetName val="2nd term 2025"/>
      <sheetName val="CH"/>
      <sheetName val="ICCSP"/>
      <sheetName val="OTM GA"/>
      <sheetName val="term 3 fees"/>
      <sheetName val="TERM 3 ENROLLMENT"/>
    </sheetNames>
    <sheetDataSet>
      <sheetData sheetId="0" refreshError="1">
        <row r="8">
          <cell r="J8">
            <v>80000</v>
          </cell>
        </row>
        <row r="10">
          <cell r="J10">
            <v>260000</v>
          </cell>
        </row>
        <row r="11">
          <cell r="J11">
            <v>80000</v>
          </cell>
        </row>
        <row r="17">
          <cell r="J17">
            <v>260000</v>
          </cell>
        </row>
        <row r="23">
          <cell r="J23"/>
        </row>
        <row r="24">
          <cell r="J24">
            <v>255000</v>
          </cell>
        </row>
        <row r="25">
          <cell r="J25">
            <v>80000</v>
          </cell>
        </row>
        <row r="27">
          <cell r="J27">
            <v>260000</v>
          </cell>
        </row>
        <row r="28">
          <cell r="J28">
            <v>260000</v>
          </cell>
        </row>
        <row r="29">
          <cell r="J29">
            <v>290000</v>
          </cell>
        </row>
        <row r="32">
          <cell r="J32">
            <v>260000</v>
          </cell>
        </row>
        <row r="34">
          <cell r="J34">
            <v>230000</v>
          </cell>
        </row>
        <row r="37">
          <cell r="J37">
            <v>260000</v>
          </cell>
        </row>
        <row r="38">
          <cell r="J38">
            <v>260000</v>
          </cell>
        </row>
        <row r="40">
          <cell r="J40">
            <v>270000</v>
          </cell>
        </row>
        <row r="41">
          <cell r="J41">
            <v>260000</v>
          </cell>
        </row>
        <row r="43">
          <cell r="J43">
            <v>260000</v>
          </cell>
        </row>
        <row r="45">
          <cell r="J45">
            <v>80000</v>
          </cell>
        </row>
        <row r="67">
          <cell r="J67">
            <v>80000</v>
          </cell>
        </row>
        <row r="69">
          <cell r="J69">
            <v>500000</v>
          </cell>
        </row>
        <row r="78">
          <cell r="J78"/>
        </row>
        <row r="82">
          <cell r="J82">
            <v>310000</v>
          </cell>
        </row>
        <row r="84">
          <cell r="J84">
            <v>310000</v>
          </cell>
        </row>
        <row r="85">
          <cell r="J85">
            <v>310000</v>
          </cell>
        </row>
        <row r="89">
          <cell r="J89">
            <v>310000</v>
          </cell>
        </row>
        <row r="90">
          <cell r="J90">
            <v>310000</v>
          </cell>
        </row>
        <row r="94">
          <cell r="J94">
            <v>310000</v>
          </cell>
        </row>
        <row r="95">
          <cell r="J95">
            <v>310000</v>
          </cell>
        </row>
        <row r="98">
          <cell r="J98">
            <v>80000</v>
          </cell>
        </row>
        <row r="99">
          <cell r="J99">
            <v>260000</v>
          </cell>
        </row>
        <row r="102">
          <cell r="J102">
            <v>400000</v>
          </cell>
        </row>
        <row r="109">
          <cell r="J109"/>
        </row>
        <row r="112">
          <cell r="J112">
            <v>310000</v>
          </cell>
        </row>
        <row r="115">
          <cell r="J115">
            <v>310000</v>
          </cell>
        </row>
        <row r="116">
          <cell r="J116">
            <v>310000</v>
          </cell>
        </row>
        <row r="117">
          <cell r="J117">
            <v>510000</v>
          </cell>
        </row>
        <row r="120">
          <cell r="J120">
            <v>310000</v>
          </cell>
        </row>
        <row r="121">
          <cell r="J121">
            <v>310000</v>
          </cell>
        </row>
        <row r="122">
          <cell r="J122">
            <v>170000</v>
          </cell>
        </row>
        <row r="123">
          <cell r="J123">
            <v>310000</v>
          </cell>
        </row>
        <row r="127">
          <cell r="J127">
            <v>310000</v>
          </cell>
        </row>
        <row r="130">
          <cell r="J130">
            <v>430000</v>
          </cell>
        </row>
        <row r="131">
          <cell r="J131">
            <v>260000</v>
          </cell>
        </row>
        <row r="138">
          <cell r="J138">
            <v>630000</v>
          </cell>
        </row>
        <row r="162">
          <cell r="J162"/>
        </row>
        <row r="163">
          <cell r="J163">
            <v>330000</v>
          </cell>
        </row>
        <row r="165">
          <cell r="J165">
            <v>335000</v>
          </cell>
        </row>
        <row r="166">
          <cell r="J166">
            <v>80000</v>
          </cell>
        </row>
        <row r="168">
          <cell r="J168">
            <v>335000</v>
          </cell>
        </row>
        <row r="175">
          <cell r="J175">
            <v>630000</v>
          </cell>
        </row>
        <row r="185">
          <cell r="J185">
            <v>85000</v>
          </cell>
        </row>
        <row r="187">
          <cell r="J187">
            <v>300000</v>
          </cell>
        </row>
        <row r="189">
          <cell r="J189">
            <v>500000</v>
          </cell>
        </row>
        <row r="194">
          <cell r="J194"/>
        </row>
        <row r="195">
          <cell r="J195"/>
        </row>
        <row r="204">
          <cell r="J204">
            <v>335000</v>
          </cell>
        </row>
        <row r="211">
          <cell r="J211">
            <v>335000</v>
          </cell>
        </row>
        <row r="212">
          <cell r="J212">
            <v>500000</v>
          </cell>
        </row>
        <row r="214">
          <cell r="J214">
            <v>335000</v>
          </cell>
        </row>
        <row r="219">
          <cell r="J219">
            <v>500000</v>
          </cell>
        </row>
        <row r="220">
          <cell r="J220">
            <v>335000</v>
          </cell>
        </row>
        <row r="228">
          <cell r="J228"/>
        </row>
        <row r="229">
          <cell r="J229">
            <v>335000</v>
          </cell>
        </row>
        <row r="230">
          <cell r="J230">
            <v>85000</v>
          </cell>
        </row>
        <row r="235">
          <cell r="J235">
            <v>335000</v>
          </cell>
        </row>
        <row r="238">
          <cell r="J238">
            <v>335000</v>
          </cell>
        </row>
        <row r="247">
          <cell r="J247">
            <v>500000</v>
          </cell>
        </row>
        <row r="249">
          <cell r="J249">
            <v>630000</v>
          </cell>
        </row>
        <row r="250">
          <cell r="J250">
            <v>335000</v>
          </cell>
        </row>
        <row r="255">
          <cell r="J255">
            <v>500000</v>
          </cell>
        </row>
        <row r="256">
          <cell r="J256">
            <v>500000</v>
          </cell>
        </row>
        <row r="260">
          <cell r="J260">
            <v>430000</v>
          </cell>
        </row>
        <row r="262">
          <cell r="J262">
            <v>500000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3"/>
  <sheetViews>
    <sheetView topLeftCell="E1" zoomScale="82" zoomScaleNormal="82" workbookViewId="0">
      <pane ySplit="1" topLeftCell="A162" activePane="bottomLeft" state="frozen"/>
      <selection pane="bottomLeft" activeCell="N70" sqref="N70"/>
    </sheetView>
  </sheetViews>
  <sheetFormatPr defaultColWidth="13.625" defaultRowHeight="15.75" x14ac:dyDescent="0.25"/>
  <cols>
    <col min="1" max="1" width="5" style="42" customWidth="1"/>
    <col min="2" max="2" width="7.125" style="42" customWidth="1"/>
    <col min="3" max="3" width="19" style="41" customWidth="1"/>
    <col min="4" max="4" width="19.625" style="41" customWidth="1"/>
    <col min="5" max="5" width="15.375" style="41" customWidth="1"/>
    <col min="6" max="6" width="18.875" style="42" customWidth="1"/>
    <col min="7" max="7" width="19.25" style="42" customWidth="1"/>
    <col min="8" max="8" width="2.75" style="42" hidden="1" customWidth="1"/>
    <col min="9" max="9" width="17.875" style="42" customWidth="1"/>
    <col min="10" max="10" width="25.625" style="42" customWidth="1"/>
    <col min="11" max="11" width="22.875" style="42" customWidth="1"/>
    <col min="12" max="12" width="18.625" style="42" customWidth="1"/>
    <col min="13" max="13" width="18.25" style="42" customWidth="1"/>
    <col min="14" max="14" width="21.75" style="42" customWidth="1"/>
    <col min="15" max="16384" width="13.625" style="42"/>
  </cols>
  <sheetData>
    <row r="1" spans="1:15" s="30" customFormat="1" ht="29.25" customHeight="1" x14ac:dyDescent="0.3">
      <c r="A1" s="19"/>
      <c r="B1" s="20" t="s">
        <v>0</v>
      </c>
      <c r="C1" s="21" t="s">
        <v>1</v>
      </c>
      <c r="D1" s="21" t="s">
        <v>2</v>
      </c>
      <c r="E1" s="22" t="s">
        <v>3</v>
      </c>
      <c r="F1" s="21" t="s">
        <v>4</v>
      </c>
      <c r="G1" s="23" t="s">
        <v>5</v>
      </c>
      <c r="H1" s="21" t="s">
        <v>6</v>
      </c>
      <c r="I1" s="24" t="s">
        <v>7</v>
      </c>
      <c r="J1" s="25" t="s">
        <v>8</v>
      </c>
      <c r="K1" s="25" t="s">
        <v>9</v>
      </c>
      <c r="L1" s="26" t="s">
        <v>10</v>
      </c>
      <c r="M1" s="27" t="s">
        <v>11</v>
      </c>
      <c r="N1" s="28" t="s">
        <v>12</v>
      </c>
      <c r="O1" s="29" t="s">
        <v>13</v>
      </c>
    </row>
    <row r="2" spans="1:15" ht="29.25" customHeight="1" x14ac:dyDescent="0.25">
      <c r="A2" s="31"/>
      <c r="B2" s="32">
        <v>1</v>
      </c>
      <c r="C2" s="33" t="s">
        <v>14</v>
      </c>
      <c r="D2" s="33" t="s">
        <v>15</v>
      </c>
      <c r="E2" s="34" t="s">
        <v>16</v>
      </c>
      <c r="F2" s="33" t="s">
        <v>17</v>
      </c>
      <c r="G2" s="35">
        <v>1010521012</v>
      </c>
      <c r="H2" s="33"/>
      <c r="I2" s="36">
        <v>290000</v>
      </c>
      <c r="J2" s="37"/>
      <c r="K2" s="38">
        <f>100000+100000+90000</f>
        <v>290000</v>
      </c>
      <c r="L2" s="39">
        <f t="shared" ref="L2:L21" si="0">I2+J2-K2</f>
        <v>0</v>
      </c>
      <c r="M2" s="40"/>
      <c r="N2" s="41"/>
    </row>
    <row r="3" spans="1:15" ht="29.25" customHeight="1" x14ac:dyDescent="0.25">
      <c r="A3" s="43"/>
      <c r="B3" s="32">
        <v>2</v>
      </c>
      <c r="C3" s="44" t="s">
        <v>18</v>
      </c>
      <c r="D3" s="44" t="s">
        <v>19</v>
      </c>
      <c r="E3" s="45" t="s">
        <v>20</v>
      </c>
      <c r="F3" s="44" t="s">
        <v>17</v>
      </c>
      <c r="G3" s="46">
        <v>1010607442</v>
      </c>
      <c r="H3" s="44"/>
      <c r="I3" s="47">
        <v>290000</v>
      </c>
      <c r="J3" s="48"/>
      <c r="K3" s="49">
        <f>200000+90000</f>
        <v>290000</v>
      </c>
      <c r="L3" s="39">
        <f t="shared" si="0"/>
        <v>0</v>
      </c>
      <c r="M3" s="50"/>
      <c r="N3" s="41"/>
    </row>
    <row r="4" spans="1:15" ht="29.25" customHeight="1" x14ac:dyDescent="0.25">
      <c r="A4" s="43"/>
      <c r="B4" s="32">
        <v>3</v>
      </c>
      <c r="C4" s="44" t="s">
        <v>21</v>
      </c>
      <c r="D4" s="44" t="s">
        <v>22</v>
      </c>
      <c r="E4" s="45"/>
      <c r="F4" s="44" t="s">
        <v>17</v>
      </c>
      <c r="G4" s="46">
        <v>1010668240</v>
      </c>
      <c r="H4" s="44"/>
      <c r="I4" s="47">
        <v>200000</v>
      </c>
      <c r="J4" s="48"/>
      <c r="K4" s="49">
        <f>100000+100000</f>
        <v>200000</v>
      </c>
      <c r="L4" s="39">
        <f t="shared" si="0"/>
        <v>0</v>
      </c>
      <c r="M4" s="50"/>
      <c r="N4" s="41"/>
    </row>
    <row r="5" spans="1:15" ht="29.25" customHeight="1" x14ac:dyDescent="0.25">
      <c r="A5" s="43"/>
      <c r="B5" s="32">
        <v>4</v>
      </c>
      <c r="C5" s="44" t="s">
        <v>585</v>
      </c>
      <c r="D5" s="44" t="s">
        <v>23</v>
      </c>
      <c r="E5" s="45" t="s">
        <v>24</v>
      </c>
      <c r="F5" s="44" t="s">
        <v>17</v>
      </c>
      <c r="G5" s="46">
        <v>1010680309</v>
      </c>
      <c r="H5" s="44"/>
      <c r="I5" s="47">
        <v>270000</v>
      </c>
      <c r="J5" s="48"/>
      <c r="K5" s="49">
        <f>150000+120000</f>
        <v>270000</v>
      </c>
      <c r="L5" s="39">
        <f t="shared" si="0"/>
        <v>0</v>
      </c>
      <c r="M5" s="50"/>
      <c r="N5" s="41"/>
    </row>
    <row r="6" spans="1:15" ht="29.25" customHeight="1" x14ac:dyDescent="0.25">
      <c r="A6" s="43"/>
      <c r="B6" s="32">
        <v>5</v>
      </c>
      <c r="C6" s="44" t="s">
        <v>25</v>
      </c>
      <c r="D6" s="44" t="s">
        <v>26</v>
      </c>
      <c r="E6" s="45" t="s">
        <v>27</v>
      </c>
      <c r="F6" s="44" t="s">
        <v>17</v>
      </c>
      <c r="G6" s="46"/>
      <c r="H6" s="44"/>
      <c r="I6" s="47">
        <f>290000+300000</f>
        <v>590000</v>
      </c>
      <c r="J6" s="48"/>
      <c r="K6" s="49">
        <f>590000</f>
        <v>590000</v>
      </c>
      <c r="L6" s="39">
        <f t="shared" si="0"/>
        <v>0</v>
      </c>
      <c r="M6" s="50"/>
      <c r="N6" s="41"/>
    </row>
    <row r="7" spans="1:15" ht="29.25" customHeight="1" x14ac:dyDescent="0.25">
      <c r="A7" s="43"/>
      <c r="B7" s="32">
        <v>6</v>
      </c>
      <c r="C7" s="44" t="s">
        <v>28</v>
      </c>
      <c r="D7" s="44" t="s">
        <v>29</v>
      </c>
      <c r="E7" s="45"/>
      <c r="F7" s="44" t="s">
        <v>17</v>
      </c>
      <c r="G7" s="46"/>
      <c r="H7" s="44"/>
      <c r="I7" s="47">
        <f>200000</f>
        <v>200000</v>
      </c>
      <c r="J7" s="48"/>
      <c r="K7" s="49">
        <f>150000+50000</f>
        <v>200000</v>
      </c>
      <c r="L7" s="39">
        <f t="shared" si="0"/>
        <v>0</v>
      </c>
      <c r="M7" s="50"/>
      <c r="N7" s="41"/>
    </row>
    <row r="8" spans="1:15" s="58" customFormat="1" ht="29.25" customHeight="1" x14ac:dyDescent="0.25">
      <c r="A8" s="51"/>
      <c r="B8" s="32">
        <v>7</v>
      </c>
      <c r="C8" s="52" t="s">
        <v>30</v>
      </c>
      <c r="D8" s="52" t="s">
        <v>31</v>
      </c>
      <c r="E8" s="53" t="s">
        <v>32</v>
      </c>
      <c r="F8" s="52" t="s">
        <v>17</v>
      </c>
      <c r="G8" s="54"/>
      <c r="H8" s="52"/>
      <c r="I8" s="55">
        <v>80000</v>
      </c>
      <c r="J8" s="55"/>
      <c r="K8" s="55">
        <f>80000</f>
        <v>80000</v>
      </c>
      <c r="L8" s="55">
        <f t="shared" si="0"/>
        <v>0</v>
      </c>
      <c r="M8" s="56"/>
      <c r="N8" s="57"/>
    </row>
    <row r="9" spans="1:15" s="58" customFormat="1" ht="29.25" customHeight="1" x14ac:dyDescent="0.25">
      <c r="A9" s="51"/>
      <c r="B9" s="32">
        <v>8</v>
      </c>
      <c r="C9" s="52" t="s">
        <v>33</v>
      </c>
      <c r="D9" s="52" t="s">
        <v>34</v>
      </c>
      <c r="E9" s="53" t="s">
        <v>35</v>
      </c>
      <c r="F9" s="52" t="s">
        <v>17</v>
      </c>
      <c r="G9" s="54"/>
      <c r="H9" s="52"/>
      <c r="I9" s="55">
        <v>80000</v>
      </c>
      <c r="J9" s="55"/>
      <c r="K9" s="55">
        <f>40000</f>
        <v>40000</v>
      </c>
      <c r="L9" s="55">
        <f t="shared" si="0"/>
        <v>40000</v>
      </c>
      <c r="M9" s="56"/>
      <c r="N9" s="57"/>
    </row>
    <row r="10" spans="1:15" ht="29.25" customHeight="1" x14ac:dyDescent="0.25">
      <c r="A10" s="43"/>
      <c r="B10" s="32">
        <v>9</v>
      </c>
      <c r="C10" s="44" t="s">
        <v>36</v>
      </c>
      <c r="D10" s="44" t="s">
        <v>37</v>
      </c>
      <c r="E10" s="45" t="s">
        <v>38</v>
      </c>
      <c r="F10" s="44" t="s">
        <v>17</v>
      </c>
      <c r="G10" s="46"/>
      <c r="H10" s="44"/>
      <c r="I10" s="47">
        <v>200000</v>
      </c>
      <c r="J10" s="48"/>
      <c r="K10" s="49">
        <f>200000</f>
        <v>200000</v>
      </c>
      <c r="L10" s="39">
        <f t="shared" si="0"/>
        <v>0</v>
      </c>
      <c r="M10" s="50"/>
      <c r="N10" s="41"/>
    </row>
    <row r="11" spans="1:15" ht="29.25" customHeight="1" x14ac:dyDescent="0.25">
      <c r="A11" s="43"/>
      <c r="B11" s="32">
        <v>10</v>
      </c>
      <c r="C11" s="44" t="s">
        <v>39</v>
      </c>
      <c r="D11" s="44" t="s">
        <v>40</v>
      </c>
      <c r="E11" s="45"/>
      <c r="F11" s="44" t="s">
        <v>17</v>
      </c>
      <c r="G11" s="46"/>
      <c r="H11" s="44"/>
      <c r="I11" s="47">
        <v>290000</v>
      </c>
      <c r="J11" s="48"/>
      <c r="K11" s="49">
        <f>290000</f>
        <v>290000</v>
      </c>
      <c r="L11" s="39">
        <f t="shared" si="0"/>
        <v>0</v>
      </c>
      <c r="M11" s="50"/>
      <c r="N11" s="41"/>
    </row>
    <row r="12" spans="1:15" ht="29.25" customHeight="1" x14ac:dyDescent="0.25">
      <c r="A12" s="43"/>
      <c r="B12" s="32">
        <v>11</v>
      </c>
      <c r="C12" s="44" t="s">
        <v>41</v>
      </c>
      <c r="D12" s="44" t="s">
        <v>42</v>
      </c>
      <c r="E12" s="45"/>
      <c r="F12" s="44" t="s">
        <v>17</v>
      </c>
      <c r="G12" s="46"/>
      <c r="H12" s="44"/>
      <c r="I12" s="47">
        <f>260000</f>
        <v>260000</v>
      </c>
      <c r="J12" s="48"/>
      <c r="K12" s="49">
        <f>100000+80000+60000+20000</f>
        <v>260000</v>
      </c>
      <c r="L12" s="39">
        <f t="shared" si="0"/>
        <v>0</v>
      </c>
      <c r="M12" s="50" t="s">
        <v>43</v>
      </c>
      <c r="N12" s="41"/>
    </row>
    <row r="13" spans="1:15" s="67" customFormat="1" ht="29.25" customHeight="1" x14ac:dyDescent="0.25">
      <c r="A13" s="59"/>
      <c r="B13" s="32">
        <v>12</v>
      </c>
      <c r="C13" s="60" t="s">
        <v>44</v>
      </c>
      <c r="D13" s="60" t="s">
        <v>45</v>
      </c>
      <c r="E13" s="61"/>
      <c r="F13" s="60" t="s">
        <v>17</v>
      </c>
      <c r="G13" s="62"/>
      <c r="H13" s="60"/>
      <c r="I13" s="63">
        <f>290000+250000</f>
        <v>540000</v>
      </c>
      <c r="J13" s="63"/>
      <c r="K13" s="63">
        <f>540000</f>
        <v>540000</v>
      </c>
      <c r="L13" s="64">
        <f t="shared" si="0"/>
        <v>0</v>
      </c>
      <c r="M13" s="65"/>
      <c r="N13" s="66"/>
    </row>
    <row r="14" spans="1:15" ht="23.25" customHeight="1" x14ac:dyDescent="0.25">
      <c r="A14" s="43">
        <v>7</v>
      </c>
      <c r="B14" s="32">
        <v>13</v>
      </c>
      <c r="C14" s="44" t="s">
        <v>46</v>
      </c>
      <c r="D14" s="44" t="s">
        <v>47</v>
      </c>
      <c r="E14" s="45"/>
      <c r="F14" s="44" t="s">
        <v>48</v>
      </c>
      <c r="G14" s="46"/>
      <c r="H14" s="44"/>
      <c r="I14" s="47">
        <f>260000+100000</f>
        <v>360000</v>
      </c>
      <c r="J14" s="48"/>
      <c r="K14" s="49">
        <f>100000+200000</f>
        <v>300000</v>
      </c>
      <c r="L14" s="39">
        <f t="shared" si="0"/>
        <v>60000</v>
      </c>
      <c r="M14" s="50" t="s">
        <v>49</v>
      </c>
      <c r="N14" s="69">
        <v>260000</v>
      </c>
    </row>
    <row r="15" spans="1:15" ht="29.25" customHeight="1" x14ac:dyDescent="0.25">
      <c r="A15" s="43"/>
      <c r="B15" s="32">
        <v>14</v>
      </c>
      <c r="C15" s="44" t="s">
        <v>50</v>
      </c>
      <c r="D15" s="44" t="s">
        <v>51</v>
      </c>
      <c r="E15" s="45" t="s">
        <v>52</v>
      </c>
      <c r="F15" s="44" t="s">
        <v>17</v>
      </c>
      <c r="G15" s="46"/>
      <c r="H15" s="44"/>
      <c r="I15" s="47">
        <f>100000</f>
        <v>100000</v>
      </c>
      <c r="J15" s="48"/>
      <c r="K15" s="49">
        <f>50000+50000</f>
        <v>100000</v>
      </c>
      <c r="L15" s="39">
        <f t="shared" si="0"/>
        <v>0</v>
      </c>
      <c r="M15" s="50"/>
      <c r="N15" s="41"/>
    </row>
    <row r="16" spans="1:15" s="93" customFormat="1" ht="29.25" customHeight="1" x14ac:dyDescent="0.25">
      <c r="A16" s="85"/>
      <c r="B16" s="32">
        <v>15</v>
      </c>
      <c r="C16" s="86" t="s">
        <v>537</v>
      </c>
      <c r="D16" s="86" t="s">
        <v>538</v>
      </c>
      <c r="E16" s="87"/>
      <c r="F16" s="86" t="s">
        <v>17</v>
      </c>
      <c r="G16" s="88"/>
      <c r="H16" s="86"/>
      <c r="I16" s="89">
        <v>80000</v>
      </c>
      <c r="J16" s="89"/>
      <c r="K16" s="89">
        <f>80000</f>
        <v>80000</v>
      </c>
      <c r="L16" s="90">
        <f t="shared" si="0"/>
        <v>0</v>
      </c>
      <c r="M16" s="91"/>
      <c r="N16" s="92"/>
    </row>
    <row r="17" spans="1:37" ht="29.25" customHeight="1" x14ac:dyDescent="0.25">
      <c r="A17" s="43"/>
      <c r="B17" s="32">
        <f>1+B16</f>
        <v>16</v>
      </c>
      <c r="C17" s="44"/>
      <c r="D17" s="44"/>
      <c r="E17" s="45"/>
      <c r="F17" s="44" t="s">
        <v>17</v>
      </c>
      <c r="G17" s="46"/>
      <c r="H17" s="44"/>
      <c r="I17" s="47"/>
      <c r="J17" s="48"/>
      <c r="K17" s="49"/>
      <c r="L17" s="39">
        <f t="shared" si="0"/>
        <v>0</v>
      </c>
      <c r="M17" s="50"/>
      <c r="N17" s="41"/>
    </row>
    <row r="18" spans="1:37" ht="29.25" customHeight="1" x14ac:dyDescent="0.25">
      <c r="A18" s="43"/>
      <c r="B18" s="32">
        <f>1+B17</f>
        <v>17</v>
      </c>
      <c r="C18" s="44"/>
      <c r="D18" s="44"/>
      <c r="E18" s="45"/>
      <c r="F18" s="44" t="s">
        <v>17</v>
      </c>
      <c r="G18" s="46"/>
      <c r="H18" s="44"/>
      <c r="I18" s="47"/>
      <c r="J18" s="48"/>
      <c r="K18" s="49"/>
      <c r="L18" s="39">
        <f t="shared" si="0"/>
        <v>0</v>
      </c>
      <c r="M18" s="50"/>
      <c r="N18" s="41"/>
    </row>
    <row r="19" spans="1:37" ht="29.25" customHeight="1" x14ac:dyDescent="0.25">
      <c r="A19" s="43"/>
      <c r="B19" s="32">
        <f>1+B18</f>
        <v>18</v>
      </c>
      <c r="C19" s="44"/>
      <c r="D19" s="44"/>
      <c r="E19" s="45"/>
      <c r="F19" s="44" t="s">
        <v>17</v>
      </c>
      <c r="G19" s="46"/>
      <c r="H19" s="44"/>
      <c r="I19" s="47"/>
      <c r="J19" s="48"/>
      <c r="K19" s="49"/>
      <c r="L19" s="39">
        <f t="shared" si="0"/>
        <v>0</v>
      </c>
      <c r="M19" s="50"/>
      <c r="N19" s="41"/>
    </row>
    <row r="20" spans="1:37" ht="29.25" customHeight="1" x14ac:dyDescent="0.25">
      <c r="A20" s="43"/>
      <c r="B20" s="32">
        <f>1+B19</f>
        <v>19</v>
      </c>
      <c r="C20" s="44"/>
      <c r="D20" s="44"/>
      <c r="E20" s="45"/>
      <c r="F20" s="44" t="s">
        <v>17</v>
      </c>
      <c r="G20" s="46"/>
      <c r="H20" s="44"/>
      <c r="I20" s="47"/>
      <c r="J20" s="48"/>
      <c r="K20" s="49"/>
      <c r="L20" s="39">
        <f t="shared" si="0"/>
        <v>0</v>
      </c>
      <c r="M20" s="50"/>
      <c r="N20" s="41"/>
    </row>
    <row r="21" spans="1:37" ht="29.25" customHeight="1" x14ac:dyDescent="0.25">
      <c r="A21" s="43"/>
      <c r="B21" s="32">
        <f>1+B20</f>
        <v>20</v>
      </c>
      <c r="C21" s="44"/>
      <c r="D21" s="44"/>
      <c r="E21" s="45"/>
      <c r="F21" s="44" t="s">
        <v>17</v>
      </c>
      <c r="G21" s="46"/>
      <c r="H21" s="44"/>
      <c r="I21" s="47"/>
      <c r="J21" s="48"/>
      <c r="K21" s="49"/>
      <c r="L21" s="39">
        <f t="shared" si="0"/>
        <v>0</v>
      </c>
      <c r="M21" s="50"/>
      <c r="N21" s="41"/>
    </row>
    <row r="22" spans="1:37" ht="23.25" customHeight="1" x14ac:dyDescent="0.25">
      <c r="A22" s="43"/>
      <c r="B22" s="68"/>
      <c r="C22" s="44"/>
      <c r="D22" s="70" t="s">
        <v>48</v>
      </c>
      <c r="E22" s="45"/>
      <c r="F22" s="44"/>
      <c r="G22" s="46"/>
      <c r="H22" s="44"/>
      <c r="I22" s="47">
        <v>0</v>
      </c>
      <c r="J22" s="48"/>
      <c r="K22" s="49"/>
      <c r="L22" s="39">
        <f t="shared" ref="L22:L58" si="1">I22+J22-K22</f>
        <v>0</v>
      </c>
      <c r="M22" s="50"/>
      <c r="N22" s="41"/>
    </row>
    <row r="23" spans="1:37" ht="23.25" customHeight="1" x14ac:dyDescent="0.25">
      <c r="A23" s="43">
        <v>2</v>
      </c>
      <c r="B23" s="68">
        <v>1</v>
      </c>
      <c r="C23" s="44" t="s">
        <v>22</v>
      </c>
      <c r="D23" s="44"/>
      <c r="E23" s="45" t="s">
        <v>53</v>
      </c>
      <c r="F23" s="44" t="s">
        <v>48</v>
      </c>
      <c r="G23" s="46">
        <v>1008799582</v>
      </c>
      <c r="H23" s="44"/>
      <c r="I23" s="47">
        <f>290000</f>
        <v>290000</v>
      </c>
      <c r="J23" s="48"/>
      <c r="K23" s="49">
        <f>150000+50000+50000+40000</f>
        <v>290000</v>
      </c>
      <c r="L23" s="39">
        <f t="shared" si="1"/>
        <v>0</v>
      </c>
      <c r="M23" s="50"/>
      <c r="N23" s="41"/>
    </row>
    <row r="24" spans="1:37" ht="23.25" customHeight="1" x14ac:dyDescent="0.25">
      <c r="A24" s="43">
        <v>3</v>
      </c>
      <c r="B24" s="68">
        <v>2</v>
      </c>
      <c r="C24" s="44" t="s">
        <v>54</v>
      </c>
      <c r="D24" s="44"/>
      <c r="E24" s="45" t="s">
        <v>55</v>
      </c>
      <c r="F24" s="44" t="s">
        <v>48</v>
      </c>
      <c r="G24" s="46">
        <v>1008807850</v>
      </c>
      <c r="H24" s="44"/>
      <c r="I24" s="47">
        <f>290000</f>
        <v>290000</v>
      </c>
      <c r="J24" s="48"/>
      <c r="K24" s="49">
        <f>100000+59000+70000+60000</f>
        <v>289000</v>
      </c>
      <c r="L24" s="39">
        <f t="shared" si="1"/>
        <v>1000</v>
      </c>
      <c r="M24" s="50"/>
      <c r="N24" s="71"/>
    </row>
    <row r="25" spans="1:37" s="77" customFormat="1" ht="23.25" customHeight="1" x14ac:dyDescent="0.25">
      <c r="A25" s="43">
        <v>6</v>
      </c>
      <c r="B25" s="68">
        <v>3</v>
      </c>
      <c r="C25" s="72" t="s">
        <v>56</v>
      </c>
      <c r="D25" s="72"/>
      <c r="E25" s="73" t="s">
        <v>57</v>
      </c>
      <c r="F25" s="44" t="s">
        <v>48</v>
      </c>
      <c r="G25" s="74">
        <v>1008878539</v>
      </c>
      <c r="H25" s="72"/>
      <c r="I25" s="47">
        <f>'[1]1st term 2025'!J8</f>
        <v>80000</v>
      </c>
      <c r="J25" s="48"/>
      <c r="K25" s="75">
        <f>80000</f>
        <v>80000</v>
      </c>
      <c r="L25" s="39">
        <f t="shared" si="1"/>
        <v>0</v>
      </c>
      <c r="M25" s="76" t="s">
        <v>58</v>
      </c>
      <c r="N25" s="4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</row>
    <row r="26" spans="1:37" ht="23.25" customHeight="1" x14ac:dyDescent="0.25">
      <c r="A26" s="43">
        <v>8</v>
      </c>
      <c r="B26" s="68">
        <v>4</v>
      </c>
      <c r="C26" s="44" t="s">
        <v>59</v>
      </c>
      <c r="D26" s="44" t="s">
        <v>60</v>
      </c>
      <c r="E26" s="45" t="s">
        <v>61</v>
      </c>
      <c r="F26" s="44" t="s">
        <v>48</v>
      </c>
      <c r="G26" s="46"/>
      <c r="H26" s="44"/>
      <c r="I26" s="47">
        <f>'[1]1st term 2025'!J10</f>
        <v>260000</v>
      </c>
      <c r="J26" s="48"/>
      <c r="K26" s="49">
        <f>100000+160000</f>
        <v>260000</v>
      </c>
      <c r="L26" s="39">
        <f t="shared" si="1"/>
        <v>0</v>
      </c>
      <c r="M26" s="50"/>
      <c r="N26" s="41"/>
    </row>
    <row r="27" spans="1:37" s="77" customFormat="1" ht="23.25" customHeight="1" x14ac:dyDescent="0.25">
      <c r="A27" s="43">
        <v>9</v>
      </c>
      <c r="B27" s="68">
        <v>5</v>
      </c>
      <c r="C27" s="72" t="s">
        <v>62</v>
      </c>
      <c r="D27" s="72" t="s">
        <v>41</v>
      </c>
      <c r="E27" s="73"/>
      <c r="F27" s="44" t="s">
        <v>48</v>
      </c>
      <c r="G27" s="74"/>
      <c r="H27" s="72"/>
      <c r="I27" s="47">
        <f>'[1]1st term 2025'!J11</f>
        <v>80000</v>
      </c>
      <c r="J27" s="48"/>
      <c r="K27" s="75">
        <f>50000+30000</f>
        <v>80000</v>
      </c>
      <c r="L27" s="39">
        <f t="shared" si="1"/>
        <v>0</v>
      </c>
      <c r="M27" s="76" t="s">
        <v>63</v>
      </c>
      <c r="N27" s="4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</row>
    <row r="28" spans="1:37" s="84" customFormat="1" ht="23.25" customHeight="1" x14ac:dyDescent="0.25">
      <c r="A28" s="78">
        <v>11</v>
      </c>
      <c r="B28" s="68">
        <v>6</v>
      </c>
      <c r="C28" s="68" t="s">
        <v>64</v>
      </c>
      <c r="D28" s="68" t="s">
        <v>65</v>
      </c>
      <c r="E28" s="79" t="s">
        <v>66</v>
      </c>
      <c r="F28" s="68" t="s">
        <v>48</v>
      </c>
      <c r="G28" s="80">
        <v>1009022251</v>
      </c>
      <c r="H28" s="68"/>
      <c r="I28" s="49">
        <f>290000</f>
        <v>290000</v>
      </c>
      <c r="J28" s="49"/>
      <c r="K28" s="49">
        <f>100000+100000</f>
        <v>200000</v>
      </c>
      <c r="L28" s="81">
        <f t="shared" si="1"/>
        <v>90000</v>
      </c>
      <c r="M28" s="82"/>
      <c r="N28" s="83"/>
    </row>
    <row r="29" spans="1:37" ht="23.25" customHeight="1" x14ac:dyDescent="0.25">
      <c r="A29" s="43">
        <v>12</v>
      </c>
      <c r="B29" s="68">
        <v>7</v>
      </c>
      <c r="C29" s="44" t="s">
        <v>67</v>
      </c>
      <c r="D29" s="44" t="s">
        <v>68</v>
      </c>
      <c r="E29" s="45" t="s">
        <v>69</v>
      </c>
      <c r="F29" s="44" t="s">
        <v>48</v>
      </c>
      <c r="G29" s="46">
        <v>1008940427</v>
      </c>
      <c r="H29" s="44"/>
      <c r="I29" s="47">
        <f>290000</f>
        <v>290000</v>
      </c>
      <c r="J29" s="48"/>
      <c r="K29" s="49">
        <f>150000+50000+60000+30000+100000</f>
        <v>390000</v>
      </c>
      <c r="L29" s="39">
        <f t="shared" si="1"/>
        <v>-100000</v>
      </c>
      <c r="M29" s="50"/>
      <c r="N29" s="41"/>
    </row>
    <row r="30" spans="1:37" s="93" customFormat="1" ht="23.25" customHeight="1" x14ac:dyDescent="0.25">
      <c r="A30" s="85">
        <v>15</v>
      </c>
      <c r="B30" s="68">
        <v>8</v>
      </c>
      <c r="C30" s="86" t="s">
        <v>70</v>
      </c>
      <c r="D30" s="86" t="s">
        <v>71</v>
      </c>
      <c r="E30" s="87" t="s">
        <v>72</v>
      </c>
      <c r="F30" s="86" t="s">
        <v>48</v>
      </c>
      <c r="G30" s="88">
        <v>1009102896</v>
      </c>
      <c r="H30" s="86"/>
      <c r="I30" s="89">
        <f>'[1]1st term 2025'!J17+30000</f>
        <v>290000</v>
      </c>
      <c r="J30" s="89"/>
      <c r="K30" s="89">
        <f>200000+90000</f>
        <v>290000</v>
      </c>
      <c r="L30" s="90">
        <f t="shared" si="1"/>
        <v>0</v>
      </c>
      <c r="M30" s="91"/>
      <c r="N30" s="92">
        <v>180000</v>
      </c>
    </row>
    <row r="31" spans="1:37" ht="23.25" customHeight="1" x14ac:dyDescent="0.25">
      <c r="A31" s="43">
        <v>17</v>
      </c>
      <c r="B31" s="68">
        <v>9</v>
      </c>
      <c r="C31" s="44" t="s">
        <v>73</v>
      </c>
      <c r="D31" s="44" t="s">
        <v>74</v>
      </c>
      <c r="E31" s="45" t="s">
        <v>57</v>
      </c>
      <c r="F31" s="44" t="s">
        <v>48</v>
      </c>
      <c r="G31" s="46">
        <v>1009426740</v>
      </c>
      <c r="H31" s="44"/>
      <c r="I31" s="47">
        <f>290000+50000</f>
        <v>340000</v>
      </c>
      <c r="J31" s="48"/>
      <c r="K31" s="49">
        <f>120000+100000+120000</f>
        <v>340000</v>
      </c>
      <c r="L31" s="39">
        <f t="shared" si="1"/>
        <v>0</v>
      </c>
      <c r="M31" s="50" t="s">
        <v>75</v>
      </c>
      <c r="N31" s="41"/>
    </row>
    <row r="32" spans="1:37" s="41" customFormat="1" ht="23.25" customHeight="1" x14ac:dyDescent="0.25">
      <c r="A32" s="50">
        <v>18</v>
      </c>
      <c r="B32" s="68">
        <v>10</v>
      </c>
      <c r="C32" s="44" t="s">
        <v>76</v>
      </c>
      <c r="D32" s="44"/>
      <c r="E32" s="45" t="s">
        <v>77</v>
      </c>
      <c r="F32" s="44" t="s">
        <v>48</v>
      </c>
      <c r="G32" s="46">
        <v>1008793531</v>
      </c>
      <c r="H32" s="44"/>
      <c r="I32" s="47">
        <f>230000</f>
        <v>230000</v>
      </c>
      <c r="J32" s="48"/>
      <c r="K32" s="49">
        <f>50000+50000+50000</f>
        <v>150000</v>
      </c>
      <c r="L32" s="39">
        <f t="shared" si="1"/>
        <v>80000</v>
      </c>
      <c r="M32" s="94" t="s">
        <v>78</v>
      </c>
    </row>
    <row r="33" spans="1:14" ht="23.25" customHeight="1" x14ac:dyDescent="0.25">
      <c r="A33" s="43"/>
      <c r="B33" s="68">
        <v>11</v>
      </c>
      <c r="C33" s="44" t="s">
        <v>79</v>
      </c>
      <c r="D33" s="44" t="s">
        <v>80</v>
      </c>
      <c r="E33" s="45" t="s">
        <v>81</v>
      </c>
      <c r="F33" s="44" t="s">
        <v>48</v>
      </c>
      <c r="G33" s="46">
        <v>1009836293</v>
      </c>
      <c r="H33" s="44"/>
      <c r="I33" s="47">
        <f>260000+30000</f>
        <v>290000</v>
      </c>
      <c r="J33" s="48"/>
      <c r="K33" s="49">
        <f>270000+20000</f>
        <v>290000</v>
      </c>
      <c r="L33" s="39">
        <f t="shared" si="1"/>
        <v>0</v>
      </c>
      <c r="M33" s="50"/>
      <c r="N33" s="41"/>
    </row>
    <row r="34" spans="1:14" ht="23.25" customHeight="1" x14ac:dyDescent="0.25">
      <c r="A34" s="43"/>
      <c r="B34" s="68">
        <v>12</v>
      </c>
      <c r="C34" s="44" t="s">
        <v>82</v>
      </c>
      <c r="D34" s="44" t="s">
        <v>83</v>
      </c>
      <c r="E34" s="45" t="s">
        <v>84</v>
      </c>
      <c r="F34" s="44" t="s">
        <v>48</v>
      </c>
      <c r="G34" s="46"/>
      <c r="H34" s="44"/>
      <c r="I34" s="47">
        <f>260000+30000</f>
        <v>290000</v>
      </c>
      <c r="J34" s="48"/>
      <c r="K34" s="49">
        <f>20000+20000+10000+10000+10000+20000+20000+15000+20000</f>
        <v>145000</v>
      </c>
      <c r="L34" s="39">
        <f t="shared" si="1"/>
        <v>145000</v>
      </c>
      <c r="M34" s="50"/>
      <c r="N34" s="41"/>
    </row>
    <row r="35" spans="1:14" s="41" customFormat="1" ht="23.25" customHeight="1" x14ac:dyDescent="0.25">
      <c r="A35" s="50"/>
      <c r="B35" s="68">
        <v>13</v>
      </c>
      <c r="C35" s="44" t="s">
        <v>85</v>
      </c>
      <c r="D35" s="50" t="s">
        <v>86</v>
      </c>
      <c r="E35" s="45" t="s">
        <v>87</v>
      </c>
      <c r="F35" s="44" t="s">
        <v>48</v>
      </c>
      <c r="G35" s="43"/>
      <c r="H35" s="44"/>
      <c r="I35" s="47">
        <f>290000+50000</f>
        <v>340000</v>
      </c>
      <c r="J35" s="48"/>
      <c r="K35" s="49">
        <f>160000+180000</f>
        <v>340000</v>
      </c>
      <c r="L35" s="39">
        <f t="shared" si="1"/>
        <v>0</v>
      </c>
      <c r="M35" s="50"/>
    </row>
    <row r="36" spans="1:14" s="41" customFormat="1" ht="23.25" customHeight="1" x14ac:dyDescent="0.25">
      <c r="A36" s="50"/>
      <c r="B36" s="68"/>
      <c r="C36" s="44"/>
      <c r="E36" s="45"/>
      <c r="F36" s="44"/>
      <c r="G36" s="43"/>
      <c r="H36" s="44"/>
      <c r="I36" s="47"/>
      <c r="J36" s="48"/>
      <c r="K36" s="49"/>
      <c r="L36" s="39">
        <f t="shared" si="1"/>
        <v>0</v>
      </c>
      <c r="M36" s="50"/>
    </row>
    <row r="37" spans="1:14" ht="23.25" customHeight="1" x14ac:dyDescent="0.3">
      <c r="A37" s="43"/>
      <c r="B37" s="68"/>
      <c r="C37" s="44"/>
      <c r="D37" s="95" t="s">
        <v>88</v>
      </c>
      <c r="E37" s="45"/>
      <c r="F37" s="46"/>
      <c r="G37" s="46"/>
      <c r="H37" s="46"/>
      <c r="I37" s="47">
        <f>'[1]1st term 2025'!J23</f>
        <v>0</v>
      </c>
      <c r="J37" s="48"/>
      <c r="K37" s="96"/>
      <c r="L37" s="39">
        <f t="shared" si="1"/>
        <v>0</v>
      </c>
      <c r="M37" s="43"/>
    </row>
    <row r="38" spans="1:14" ht="23.25" customHeight="1" x14ac:dyDescent="0.25">
      <c r="A38" s="43">
        <v>19</v>
      </c>
      <c r="B38" s="68">
        <v>1</v>
      </c>
      <c r="C38" s="44" t="s">
        <v>89</v>
      </c>
      <c r="D38" s="44" t="s">
        <v>90</v>
      </c>
      <c r="E38" s="45" t="s">
        <v>91</v>
      </c>
      <c r="F38" s="44" t="s">
        <v>88</v>
      </c>
      <c r="G38" s="46">
        <v>1006914417</v>
      </c>
      <c r="H38" s="46"/>
      <c r="I38" s="47">
        <f>'[1]1st term 2025'!J24</f>
        <v>255000</v>
      </c>
      <c r="J38" s="48"/>
      <c r="K38" s="96">
        <f>200000+55000+70000</f>
        <v>325000</v>
      </c>
      <c r="L38" s="39">
        <f t="shared" si="1"/>
        <v>-70000</v>
      </c>
      <c r="M38" s="43" t="s">
        <v>92</v>
      </c>
    </row>
    <row r="39" spans="1:14" ht="23.25" customHeight="1" x14ac:dyDescent="0.25">
      <c r="A39" s="43">
        <v>20</v>
      </c>
      <c r="B39" s="68">
        <v>2</v>
      </c>
      <c r="C39" s="72" t="s">
        <v>93</v>
      </c>
      <c r="D39" s="72" t="s">
        <v>94</v>
      </c>
      <c r="E39" s="73" t="s">
        <v>95</v>
      </c>
      <c r="F39" s="44" t="s">
        <v>88</v>
      </c>
      <c r="G39" s="74">
        <v>1006914745</v>
      </c>
      <c r="H39" s="74"/>
      <c r="I39" s="47">
        <f>'[1]1st term 2025'!J25</f>
        <v>80000</v>
      </c>
      <c r="J39" s="48"/>
      <c r="K39" s="97">
        <f>80000</f>
        <v>80000</v>
      </c>
      <c r="L39" s="39">
        <f t="shared" si="1"/>
        <v>0</v>
      </c>
      <c r="M39" s="98" t="s">
        <v>92</v>
      </c>
    </row>
    <row r="40" spans="1:14" ht="23.25" customHeight="1" x14ac:dyDescent="0.25">
      <c r="A40" s="43">
        <v>22</v>
      </c>
      <c r="B40" s="68">
        <v>3</v>
      </c>
      <c r="C40" s="44" t="s">
        <v>96</v>
      </c>
      <c r="D40" s="44" t="s">
        <v>97</v>
      </c>
      <c r="E40" s="45" t="s">
        <v>98</v>
      </c>
      <c r="F40" s="44" t="s">
        <v>88</v>
      </c>
      <c r="G40" s="46">
        <v>1007134587</v>
      </c>
      <c r="H40" s="46"/>
      <c r="I40" s="47">
        <f>'[1]1st term 2025'!J27</f>
        <v>260000</v>
      </c>
      <c r="J40" s="48"/>
      <c r="K40" s="96">
        <f>260000</f>
        <v>260000</v>
      </c>
      <c r="L40" s="39">
        <f t="shared" si="1"/>
        <v>0</v>
      </c>
      <c r="M40" s="43" t="s">
        <v>92</v>
      </c>
      <c r="N40" s="99" t="e">
        <f>L41+L44+#REF!+L45+#REF!+L49+#REF!</f>
        <v>#REF!</v>
      </c>
    </row>
    <row r="41" spans="1:14" ht="23.25" customHeight="1" x14ac:dyDescent="0.25">
      <c r="A41" s="43">
        <v>23</v>
      </c>
      <c r="B41" s="68">
        <v>4</v>
      </c>
      <c r="C41" s="68" t="s">
        <v>99</v>
      </c>
      <c r="D41" s="68" t="s">
        <v>100</v>
      </c>
      <c r="E41" s="79" t="s">
        <v>101</v>
      </c>
      <c r="F41" s="44" t="s">
        <v>88</v>
      </c>
      <c r="G41" s="80">
        <v>1007092280</v>
      </c>
      <c r="H41" s="80"/>
      <c r="I41" s="47">
        <f>'[1]1st term 2025'!J28</f>
        <v>260000</v>
      </c>
      <c r="J41" s="48"/>
      <c r="K41" s="100">
        <f>100000+80000</f>
        <v>180000</v>
      </c>
      <c r="L41" s="39">
        <f t="shared" si="1"/>
        <v>80000</v>
      </c>
      <c r="M41" s="101" t="s">
        <v>92</v>
      </c>
      <c r="N41" s="102"/>
    </row>
    <row r="42" spans="1:14" ht="23.25" customHeight="1" x14ac:dyDescent="0.25">
      <c r="A42" s="43">
        <v>24</v>
      </c>
      <c r="B42" s="68">
        <v>5</v>
      </c>
      <c r="C42" s="44" t="s">
        <v>102</v>
      </c>
      <c r="D42" s="44"/>
      <c r="E42" s="45" t="s">
        <v>103</v>
      </c>
      <c r="F42" s="44" t="s">
        <v>88</v>
      </c>
      <c r="G42" s="46">
        <v>1007044996</v>
      </c>
      <c r="H42" s="46"/>
      <c r="I42" s="47">
        <f>'[1]1st term 2025'!J29</f>
        <v>290000</v>
      </c>
      <c r="J42" s="48"/>
      <c r="K42" s="96">
        <f>290000</f>
        <v>290000</v>
      </c>
      <c r="L42" s="39">
        <f t="shared" si="1"/>
        <v>0</v>
      </c>
      <c r="M42" s="43" t="s">
        <v>92</v>
      </c>
    </row>
    <row r="43" spans="1:14" s="67" customFormat="1" ht="23.25" customHeight="1" x14ac:dyDescent="0.25">
      <c r="A43" s="59">
        <v>25</v>
      </c>
      <c r="B43" s="68">
        <v>6</v>
      </c>
      <c r="C43" s="60" t="s">
        <v>104</v>
      </c>
      <c r="D43" s="60" t="s">
        <v>105</v>
      </c>
      <c r="E43" s="61" t="s">
        <v>106</v>
      </c>
      <c r="F43" s="60" t="s">
        <v>88</v>
      </c>
      <c r="G43" s="62"/>
      <c r="H43" s="62"/>
      <c r="I43" s="63">
        <v>260000</v>
      </c>
      <c r="J43" s="63"/>
      <c r="K43" s="103"/>
      <c r="L43" s="64">
        <f t="shared" si="1"/>
        <v>260000</v>
      </c>
      <c r="M43" s="59" t="s">
        <v>92</v>
      </c>
      <c r="N43" s="67" t="s">
        <v>107</v>
      </c>
    </row>
    <row r="44" spans="1:14" ht="23.25" customHeight="1" x14ac:dyDescent="0.25">
      <c r="A44" s="43">
        <v>27</v>
      </c>
      <c r="B44" s="68">
        <v>7</v>
      </c>
      <c r="C44" s="44" t="s">
        <v>108</v>
      </c>
      <c r="D44" s="44" t="s">
        <v>109</v>
      </c>
      <c r="E44" s="45" t="s">
        <v>110</v>
      </c>
      <c r="F44" s="44" t="s">
        <v>88</v>
      </c>
      <c r="G44" s="46"/>
      <c r="H44" s="46"/>
      <c r="I44" s="47">
        <f>'[1]1st term 2025'!J32</f>
        <v>260000</v>
      </c>
      <c r="J44" s="48"/>
      <c r="K44" s="96">
        <f>100000+160000</f>
        <v>260000</v>
      </c>
      <c r="L44" s="39">
        <f t="shared" si="1"/>
        <v>0</v>
      </c>
      <c r="M44" s="43" t="s">
        <v>92</v>
      </c>
    </row>
    <row r="45" spans="1:14" ht="23.25" customHeight="1" x14ac:dyDescent="0.25">
      <c r="A45" s="43">
        <v>29</v>
      </c>
      <c r="B45" s="68">
        <v>8</v>
      </c>
      <c r="C45" s="104" t="s">
        <v>111</v>
      </c>
      <c r="D45" s="104"/>
      <c r="E45" s="105" t="s">
        <v>112</v>
      </c>
      <c r="F45" s="44" t="s">
        <v>88</v>
      </c>
      <c r="G45" s="106">
        <v>1005580041</v>
      </c>
      <c r="H45" s="106"/>
      <c r="I45" s="47">
        <f>'[1]1st term 2025'!J34</f>
        <v>230000</v>
      </c>
      <c r="J45" s="48"/>
      <c r="K45" s="107">
        <f>230000</f>
        <v>230000</v>
      </c>
      <c r="L45" s="39">
        <f t="shared" si="1"/>
        <v>0</v>
      </c>
      <c r="M45" s="108" t="s">
        <v>113</v>
      </c>
      <c r="N45" s="109">
        <v>274000</v>
      </c>
    </row>
    <row r="46" spans="1:14" ht="23.25" customHeight="1" x14ac:dyDescent="0.25">
      <c r="A46" s="43">
        <v>30</v>
      </c>
      <c r="B46" s="68">
        <v>9</v>
      </c>
      <c r="C46" s="60" t="s">
        <v>44</v>
      </c>
      <c r="D46" s="60"/>
      <c r="E46" s="61" t="s">
        <v>114</v>
      </c>
      <c r="F46" s="44" t="s">
        <v>88</v>
      </c>
      <c r="G46" s="62">
        <v>1007986138</v>
      </c>
      <c r="H46" s="62"/>
      <c r="I46" s="47">
        <v>0</v>
      </c>
      <c r="J46" s="48"/>
      <c r="K46" s="103"/>
      <c r="L46" s="39">
        <f t="shared" si="1"/>
        <v>0</v>
      </c>
      <c r="M46" s="59"/>
    </row>
    <row r="47" spans="1:14" ht="23.25" customHeight="1" x14ac:dyDescent="0.25">
      <c r="A47" s="43">
        <v>32</v>
      </c>
      <c r="B47" s="68">
        <v>10</v>
      </c>
      <c r="C47" s="44" t="s">
        <v>115</v>
      </c>
      <c r="D47" s="44"/>
      <c r="E47" s="45" t="s">
        <v>116</v>
      </c>
      <c r="F47" s="44" t="s">
        <v>88</v>
      </c>
      <c r="G47" s="46">
        <v>1007991074</v>
      </c>
      <c r="H47" s="46"/>
      <c r="I47" s="47">
        <f>'[1]1st term 2025'!J37+30000</f>
        <v>290000</v>
      </c>
      <c r="J47" s="48"/>
      <c r="K47" s="96">
        <f>50000+100000+50000+25000</f>
        <v>225000</v>
      </c>
      <c r="L47" s="39">
        <f t="shared" si="1"/>
        <v>65000</v>
      </c>
      <c r="M47" s="43"/>
    </row>
    <row r="48" spans="1:14" s="84" customFormat="1" ht="23.25" customHeight="1" x14ac:dyDescent="0.25">
      <c r="A48" s="78">
        <v>33</v>
      </c>
      <c r="B48" s="68">
        <v>11</v>
      </c>
      <c r="C48" s="68" t="s">
        <v>117</v>
      </c>
      <c r="D48" s="68"/>
      <c r="E48" s="79" t="s">
        <v>118</v>
      </c>
      <c r="F48" s="68" t="s">
        <v>88</v>
      </c>
      <c r="G48" s="80">
        <v>1008057858</v>
      </c>
      <c r="H48" s="80"/>
      <c r="I48" s="49">
        <f>'[1]1st term 2025'!J38+30000</f>
        <v>290000</v>
      </c>
      <c r="J48" s="49"/>
      <c r="K48" s="96">
        <f>100000+100000</f>
        <v>200000</v>
      </c>
      <c r="L48" s="81">
        <f t="shared" si="1"/>
        <v>90000</v>
      </c>
      <c r="M48" s="78"/>
      <c r="N48" s="110" t="e">
        <f>SUM(L38+#REF!+L40+L41+L42+#REF!+#REF!+L44+#REF!+L45+#REF!+L47+L48)</f>
        <v>#REF!</v>
      </c>
    </row>
    <row r="49" spans="1:37" s="118" customFormat="1" ht="23.25" customHeight="1" x14ac:dyDescent="0.25">
      <c r="A49" s="111">
        <v>35</v>
      </c>
      <c r="B49" s="68">
        <v>12</v>
      </c>
      <c r="C49" s="112" t="s">
        <v>119</v>
      </c>
      <c r="D49" s="112"/>
      <c r="E49" s="113" t="s">
        <v>120</v>
      </c>
      <c r="F49" s="112" t="s">
        <v>88</v>
      </c>
      <c r="G49" s="114">
        <v>1008793043</v>
      </c>
      <c r="H49" s="114"/>
      <c r="I49" s="115">
        <f>'[1]1st term 2025'!J40+100000</f>
        <v>370000</v>
      </c>
      <c r="J49" s="115"/>
      <c r="K49" s="116"/>
      <c r="L49" s="115">
        <f t="shared" si="1"/>
        <v>370000</v>
      </c>
      <c r="M49" s="111" t="s">
        <v>121</v>
      </c>
      <c r="N49" s="117">
        <v>80000</v>
      </c>
    </row>
    <row r="50" spans="1:37" ht="23.25" customHeight="1" x14ac:dyDescent="0.25">
      <c r="A50" s="43">
        <v>36</v>
      </c>
      <c r="B50" s="68">
        <v>13</v>
      </c>
      <c r="C50" s="44" t="s">
        <v>122</v>
      </c>
      <c r="D50" s="44"/>
      <c r="E50" s="45" t="s">
        <v>123</v>
      </c>
      <c r="F50" s="44" t="s">
        <v>88</v>
      </c>
      <c r="G50" s="46">
        <v>1008799658</v>
      </c>
      <c r="H50" s="46"/>
      <c r="I50" s="47">
        <f>'[1]1st term 2025'!J41</f>
        <v>260000</v>
      </c>
      <c r="J50" s="48"/>
      <c r="K50" s="96">
        <f>150000+50000+60000</f>
        <v>260000</v>
      </c>
      <c r="L50" s="39">
        <f t="shared" si="1"/>
        <v>0</v>
      </c>
      <c r="M50" s="43"/>
      <c r="N50" s="71"/>
    </row>
    <row r="51" spans="1:37" ht="23.25" customHeight="1" x14ac:dyDescent="0.25">
      <c r="A51" s="43">
        <v>38</v>
      </c>
      <c r="B51" s="68">
        <v>14</v>
      </c>
      <c r="C51" s="44" t="s">
        <v>124</v>
      </c>
      <c r="D51" s="44" t="s">
        <v>125</v>
      </c>
      <c r="E51" s="45" t="s">
        <v>126</v>
      </c>
      <c r="F51" s="44" t="s">
        <v>88</v>
      </c>
      <c r="G51" s="46"/>
      <c r="H51" s="46"/>
      <c r="I51" s="47">
        <f>'[1]1st term 2025'!J43</f>
        <v>260000</v>
      </c>
      <c r="J51" s="48"/>
      <c r="K51" s="96">
        <f>100000+100000+60000</f>
        <v>260000</v>
      </c>
      <c r="L51" s="39">
        <f t="shared" si="1"/>
        <v>0</v>
      </c>
      <c r="M51" s="43"/>
      <c r="N51" s="71"/>
    </row>
    <row r="52" spans="1:37" s="77" customFormat="1" ht="23.25" customHeight="1" x14ac:dyDescent="0.25">
      <c r="A52" s="43">
        <v>40</v>
      </c>
      <c r="B52" s="68">
        <v>15</v>
      </c>
      <c r="C52" s="72" t="s">
        <v>127</v>
      </c>
      <c r="D52" s="72" t="s">
        <v>128</v>
      </c>
      <c r="E52" s="73"/>
      <c r="F52" s="44" t="s">
        <v>88</v>
      </c>
      <c r="G52" s="74"/>
      <c r="H52" s="74"/>
      <c r="I52" s="47">
        <f>'[1]1st term 2025'!J45</f>
        <v>80000</v>
      </c>
      <c r="J52" s="48"/>
      <c r="K52" s="97">
        <f>80000</f>
        <v>80000</v>
      </c>
      <c r="L52" s="39">
        <f t="shared" si="1"/>
        <v>0</v>
      </c>
      <c r="M52" s="98"/>
      <c r="N52" s="71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</row>
    <row r="53" spans="1:37" ht="23.25" customHeight="1" x14ac:dyDescent="0.25">
      <c r="A53" s="43"/>
      <c r="B53" s="68">
        <v>16</v>
      </c>
      <c r="C53" s="44" t="s">
        <v>129</v>
      </c>
      <c r="D53" s="44" t="s">
        <v>130</v>
      </c>
      <c r="E53" s="45"/>
      <c r="F53" s="44" t="s">
        <v>88</v>
      </c>
      <c r="G53" s="46">
        <v>1009792957</v>
      </c>
      <c r="H53" s="46"/>
      <c r="I53" s="47">
        <f>290000+200000</f>
        <v>490000</v>
      </c>
      <c r="J53" s="48"/>
      <c r="K53" s="96">
        <f>210000+200000+80000</f>
        <v>490000</v>
      </c>
      <c r="L53" s="39">
        <f t="shared" si="1"/>
        <v>0</v>
      </c>
      <c r="M53" s="43" t="s">
        <v>131</v>
      </c>
      <c r="N53" s="71"/>
    </row>
    <row r="54" spans="1:37" s="84" customFormat="1" ht="23.25" customHeight="1" x14ac:dyDescent="0.25">
      <c r="A54" s="78"/>
      <c r="B54" s="68">
        <v>17</v>
      </c>
      <c r="C54" s="68" t="s">
        <v>132</v>
      </c>
      <c r="D54" s="68" t="s">
        <v>133</v>
      </c>
      <c r="E54" s="79"/>
      <c r="F54" s="44" t="s">
        <v>88</v>
      </c>
      <c r="G54" s="80"/>
      <c r="H54" s="80"/>
      <c r="I54" s="49">
        <f>260000+30000</f>
        <v>290000</v>
      </c>
      <c r="J54" s="49"/>
      <c r="K54" s="96">
        <f>100000+100000+70000+50000</f>
        <v>320000</v>
      </c>
      <c r="L54" s="39">
        <f t="shared" si="1"/>
        <v>-30000</v>
      </c>
      <c r="M54" s="78"/>
      <c r="N54" s="119">
        <v>80000</v>
      </c>
    </row>
    <row r="55" spans="1:37" ht="23.25" customHeight="1" x14ac:dyDescent="0.25">
      <c r="A55" s="43"/>
      <c r="B55" s="68">
        <v>18</v>
      </c>
      <c r="C55" s="44" t="s">
        <v>134</v>
      </c>
      <c r="D55" s="44" t="s">
        <v>135</v>
      </c>
      <c r="E55" s="45"/>
      <c r="F55" s="44" t="s">
        <v>88</v>
      </c>
      <c r="G55" s="46"/>
      <c r="H55" s="46"/>
      <c r="I55" s="47">
        <f>260000+30000</f>
        <v>290000</v>
      </c>
      <c r="J55" s="48"/>
      <c r="K55" s="96">
        <f>90000+10000+100000</f>
        <v>200000</v>
      </c>
      <c r="L55" s="39">
        <f t="shared" si="1"/>
        <v>90000</v>
      </c>
      <c r="M55" s="43"/>
      <c r="N55" s="71"/>
    </row>
    <row r="56" spans="1:37" s="128" customFormat="1" ht="23.25" customHeight="1" x14ac:dyDescent="0.25">
      <c r="A56" s="120"/>
      <c r="B56" s="68">
        <v>19</v>
      </c>
      <c r="C56" s="121" t="s">
        <v>136</v>
      </c>
      <c r="D56" s="121" t="s">
        <v>137</v>
      </c>
      <c r="E56" s="122"/>
      <c r="F56" s="121" t="s">
        <v>88</v>
      </c>
      <c r="G56" s="123"/>
      <c r="H56" s="123"/>
      <c r="I56" s="124">
        <v>80000</v>
      </c>
      <c r="J56" s="124"/>
      <c r="K56" s="125">
        <f>80000</f>
        <v>80000</v>
      </c>
      <c r="L56" s="126">
        <f t="shared" si="1"/>
        <v>0</v>
      </c>
      <c r="M56" s="120"/>
      <c r="N56" s="127"/>
    </row>
    <row r="57" spans="1:37" ht="23.25" customHeight="1" x14ac:dyDescent="0.25">
      <c r="A57" s="43"/>
      <c r="B57" s="68"/>
      <c r="C57" s="44"/>
      <c r="D57" s="44"/>
      <c r="E57" s="45"/>
      <c r="F57" s="44" t="s">
        <v>138</v>
      </c>
      <c r="G57" s="46"/>
      <c r="H57" s="46"/>
      <c r="I57" s="47"/>
      <c r="J57" s="48"/>
      <c r="K57" s="96"/>
      <c r="L57" s="39"/>
      <c r="M57" s="43"/>
      <c r="N57" s="71"/>
    </row>
    <row r="58" spans="1:37" ht="23.25" customHeight="1" x14ac:dyDescent="0.25">
      <c r="A58" s="43">
        <v>42</v>
      </c>
      <c r="B58" s="129">
        <v>1</v>
      </c>
      <c r="C58" s="129" t="s">
        <v>139</v>
      </c>
      <c r="D58" s="129"/>
      <c r="E58" s="130" t="s">
        <v>140</v>
      </c>
      <c r="F58" s="44" t="s">
        <v>141</v>
      </c>
      <c r="G58" s="131">
        <v>1004598780</v>
      </c>
      <c r="H58" s="131">
        <v>705362439</v>
      </c>
      <c r="I58" s="47">
        <f>310000</f>
        <v>310000</v>
      </c>
      <c r="J58" s="48"/>
      <c r="K58" s="107">
        <f>115000</f>
        <v>115000</v>
      </c>
      <c r="L58" s="39">
        <f t="shared" si="1"/>
        <v>195000</v>
      </c>
      <c r="M58" s="78" t="s">
        <v>142</v>
      </c>
      <c r="N58" s="109">
        <v>390000</v>
      </c>
    </row>
    <row r="59" spans="1:37" ht="23.25" customHeight="1" x14ac:dyDescent="0.25">
      <c r="A59" s="43">
        <v>43</v>
      </c>
      <c r="B59" s="129">
        <v>2</v>
      </c>
      <c r="C59" s="132" t="s">
        <v>143</v>
      </c>
      <c r="D59" s="132" t="s">
        <v>144</v>
      </c>
      <c r="E59" s="133" t="s">
        <v>145</v>
      </c>
      <c r="F59" s="44" t="s">
        <v>141</v>
      </c>
      <c r="G59" s="134">
        <v>1004970591</v>
      </c>
      <c r="H59" s="134">
        <v>706082006</v>
      </c>
      <c r="I59" s="47">
        <v>100000</v>
      </c>
      <c r="J59" s="48"/>
      <c r="K59" s="135">
        <f>100000</f>
        <v>100000</v>
      </c>
      <c r="L59" s="39">
        <f t="shared" ref="L59:L124" si="2">I59+J59-K59</f>
        <v>0</v>
      </c>
      <c r="M59" s="59" t="s">
        <v>146</v>
      </c>
    </row>
    <row r="60" spans="1:37" ht="23.25" customHeight="1" x14ac:dyDescent="0.25">
      <c r="A60" s="43">
        <v>44</v>
      </c>
      <c r="B60" s="129">
        <v>3</v>
      </c>
      <c r="C60" s="132" t="s">
        <v>147</v>
      </c>
      <c r="D60" s="132"/>
      <c r="E60" s="133" t="s">
        <v>148</v>
      </c>
      <c r="F60" s="44" t="s">
        <v>141</v>
      </c>
      <c r="G60" s="134">
        <v>1004702849</v>
      </c>
      <c r="H60" s="134">
        <v>789426721</v>
      </c>
      <c r="I60" s="47">
        <v>0</v>
      </c>
      <c r="J60" s="48"/>
      <c r="K60" s="135"/>
      <c r="L60" s="39">
        <f t="shared" si="2"/>
        <v>0</v>
      </c>
      <c r="M60" s="59" t="s">
        <v>146</v>
      </c>
    </row>
    <row r="61" spans="1:37" ht="23.25" customHeight="1" x14ac:dyDescent="0.25">
      <c r="A61" s="43">
        <v>45</v>
      </c>
      <c r="B61" s="129">
        <v>4</v>
      </c>
      <c r="C61" s="129" t="s">
        <v>149</v>
      </c>
      <c r="D61" s="129" t="s">
        <v>150</v>
      </c>
      <c r="E61" s="130" t="s">
        <v>151</v>
      </c>
      <c r="F61" s="44" t="s">
        <v>141</v>
      </c>
      <c r="G61" s="131">
        <v>1005019546</v>
      </c>
      <c r="H61" s="131">
        <v>759659001</v>
      </c>
      <c r="I61" s="47">
        <f>310000</f>
        <v>310000</v>
      </c>
      <c r="J61" s="48"/>
      <c r="K61" s="107">
        <f>150000+50000+50000</f>
        <v>250000</v>
      </c>
      <c r="L61" s="39">
        <f t="shared" si="2"/>
        <v>60000</v>
      </c>
      <c r="M61" s="78" t="s">
        <v>92</v>
      </c>
    </row>
    <row r="62" spans="1:37" ht="23.25" customHeight="1" x14ac:dyDescent="0.25">
      <c r="A62" s="43">
        <v>47</v>
      </c>
      <c r="B62" s="129">
        <v>5</v>
      </c>
      <c r="C62" s="104" t="s">
        <v>152</v>
      </c>
      <c r="D62" s="104"/>
      <c r="E62" s="105" t="s">
        <v>153</v>
      </c>
      <c r="F62" s="44" t="s">
        <v>141</v>
      </c>
      <c r="G62" s="106">
        <v>1006568232</v>
      </c>
      <c r="H62" s="106"/>
      <c r="I62" s="47">
        <f>310000</f>
        <v>310000</v>
      </c>
      <c r="J62" s="48"/>
      <c r="K62" s="107">
        <f>100000+100000</f>
        <v>200000</v>
      </c>
      <c r="L62" s="39">
        <f t="shared" si="2"/>
        <v>110000</v>
      </c>
      <c r="M62" s="136" t="s">
        <v>154</v>
      </c>
    </row>
    <row r="63" spans="1:37" ht="23.25" customHeight="1" x14ac:dyDescent="0.25">
      <c r="A63" s="43">
        <v>48</v>
      </c>
      <c r="B63" s="129">
        <v>6</v>
      </c>
      <c r="C63" s="104" t="s">
        <v>155</v>
      </c>
      <c r="D63" s="104"/>
      <c r="E63" s="105" t="s">
        <v>156</v>
      </c>
      <c r="F63" s="44" t="s">
        <v>141</v>
      </c>
      <c r="G63" s="106">
        <v>1006597691</v>
      </c>
      <c r="H63" s="106"/>
      <c r="I63" s="47">
        <f>300000</f>
        <v>300000</v>
      </c>
      <c r="J63" s="48"/>
      <c r="K63" s="107">
        <f>50000+100000+150000</f>
        <v>300000</v>
      </c>
      <c r="L63" s="39">
        <f t="shared" si="2"/>
        <v>0</v>
      </c>
      <c r="M63" s="136" t="s">
        <v>146</v>
      </c>
      <c r="N63" s="99" t="e">
        <f>L58+#REF!</f>
        <v>#REF!</v>
      </c>
    </row>
    <row r="64" spans="1:37" ht="23.25" customHeight="1" x14ac:dyDescent="0.25">
      <c r="A64" s="43">
        <v>49</v>
      </c>
      <c r="B64" s="129">
        <v>7</v>
      </c>
      <c r="C64" s="137" t="s">
        <v>157</v>
      </c>
      <c r="D64" s="137" t="s">
        <v>158</v>
      </c>
      <c r="E64" s="138" t="s">
        <v>159</v>
      </c>
      <c r="F64" s="44" t="s">
        <v>141</v>
      </c>
      <c r="G64" s="139">
        <v>1006613640</v>
      </c>
      <c r="H64" s="139"/>
      <c r="I64" s="47">
        <v>0</v>
      </c>
      <c r="J64" s="48"/>
      <c r="K64" s="140"/>
      <c r="L64" s="39">
        <f t="shared" si="2"/>
        <v>0</v>
      </c>
      <c r="M64" s="141" t="s">
        <v>92</v>
      </c>
      <c r="N64" s="99" t="s">
        <v>160</v>
      </c>
    </row>
    <row r="65" spans="1:37" ht="23.25" customHeight="1" x14ac:dyDescent="0.25">
      <c r="A65" s="43">
        <v>50</v>
      </c>
      <c r="B65" s="129">
        <v>8</v>
      </c>
      <c r="C65" s="137" t="s">
        <v>161</v>
      </c>
      <c r="D65" s="137"/>
      <c r="E65" s="138" t="s">
        <v>44</v>
      </c>
      <c r="F65" s="44" t="s">
        <v>141</v>
      </c>
      <c r="G65" s="139"/>
      <c r="H65" s="139"/>
      <c r="I65" s="47">
        <v>0</v>
      </c>
      <c r="J65" s="48"/>
      <c r="K65" s="140"/>
      <c r="L65" s="39">
        <f t="shared" si="2"/>
        <v>0</v>
      </c>
      <c r="M65" s="141" t="s">
        <v>92</v>
      </c>
    </row>
    <row r="66" spans="1:37" ht="23.25" customHeight="1" x14ac:dyDescent="0.25">
      <c r="A66" s="43">
        <v>51</v>
      </c>
      <c r="B66" s="129">
        <v>9</v>
      </c>
      <c r="C66" s="137" t="s">
        <v>162</v>
      </c>
      <c r="D66" s="137"/>
      <c r="E66" s="138" t="s">
        <v>163</v>
      </c>
      <c r="F66" s="44" t="s">
        <v>141</v>
      </c>
      <c r="G66" s="139"/>
      <c r="H66" s="139"/>
      <c r="I66" s="47">
        <v>0</v>
      </c>
      <c r="J66" s="48"/>
      <c r="K66" s="140"/>
      <c r="L66" s="39">
        <f t="shared" si="2"/>
        <v>0</v>
      </c>
      <c r="M66" s="141" t="s">
        <v>92</v>
      </c>
    </row>
    <row r="67" spans="1:37" ht="23.25" customHeight="1" x14ac:dyDescent="0.25">
      <c r="A67" s="43">
        <v>54</v>
      </c>
      <c r="B67" s="129">
        <v>10</v>
      </c>
      <c r="C67" s="129" t="s">
        <v>164</v>
      </c>
      <c r="D67" s="129" t="s">
        <v>165</v>
      </c>
      <c r="E67" s="130" t="s">
        <v>166</v>
      </c>
      <c r="F67" s="44" t="s">
        <v>141</v>
      </c>
      <c r="G67" s="131">
        <v>1007073672</v>
      </c>
      <c r="H67" s="131"/>
      <c r="I67" s="47">
        <f>310000+100000</f>
        <v>410000</v>
      </c>
      <c r="J67" s="48"/>
      <c r="K67" s="142">
        <f>150000+150000</f>
        <v>300000</v>
      </c>
      <c r="L67" s="39">
        <f t="shared" si="2"/>
        <v>110000</v>
      </c>
      <c r="M67" s="143" t="s">
        <v>131</v>
      </c>
    </row>
    <row r="68" spans="1:37" ht="23.25" customHeight="1" x14ac:dyDescent="0.25">
      <c r="A68" s="43">
        <v>55</v>
      </c>
      <c r="B68" s="129">
        <v>11</v>
      </c>
      <c r="C68" s="144" t="s">
        <v>167</v>
      </c>
      <c r="D68" s="144" t="s">
        <v>168</v>
      </c>
      <c r="E68" s="145" t="s">
        <v>169</v>
      </c>
      <c r="F68" s="44" t="s">
        <v>141</v>
      </c>
      <c r="G68" s="146">
        <v>1006973917</v>
      </c>
      <c r="H68" s="146"/>
      <c r="I68" s="47">
        <v>0</v>
      </c>
      <c r="J68" s="48"/>
      <c r="K68" s="147"/>
      <c r="L68" s="39">
        <f t="shared" si="2"/>
        <v>0</v>
      </c>
      <c r="M68" s="148" t="s">
        <v>92</v>
      </c>
      <c r="N68" s="42" t="s">
        <v>170</v>
      </c>
    </row>
    <row r="69" spans="1:37" s="84" customFormat="1" ht="23.25" customHeight="1" x14ac:dyDescent="0.25">
      <c r="A69" s="78">
        <v>56</v>
      </c>
      <c r="B69" s="129">
        <v>12</v>
      </c>
      <c r="C69" s="68" t="s">
        <v>171</v>
      </c>
      <c r="D69" s="68" t="s">
        <v>172</v>
      </c>
      <c r="E69" s="79" t="s">
        <v>173</v>
      </c>
      <c r="F69" s="44" t="s">
        <v>141</v>
      </c>
      <c r="G69" s="80">
        <v>1007985992</v>
      </c>
      <c r="H69" s="80"/>
      <c r="I69" s="49">
        <f>310000</f>
        <v>310000</v>
      </c>
      <c r="J69" s="49"/>
      <c r="K69" s="96">
        <f>150000+160000</f>
        <v>310000</v>
      </c>
      <c r="L69" s="39">
        <f t="shared" si="2"/>
        <v>0</v>
      </c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</row>
    <row r="70" spans="1:37" ht="23.25" customHeight="1" x14ac:dyDescent="0.25">
      <c r="A70" s="43">
        <v>57</v>
      </c>
      <c r="B70" s="129">
        <v>13</v>
      </c>
      <c r="C70" s="60" t="s">
        <v>44</v>
      </c>
      <c r="D70" s="60"/>
      <c r="E70" s="61" t="s">
        <v>174</v>
      </c>
      <c r="F70" s="44" t="s">
        <v>141</v>
      </c>
      <c r="G70" s="62">
        <v>1007986167</v>
      </c>
      <c r="H70" s="62"/>
      <c r="I70" s="47">
        <v>0</v>
      </c>
      <c r="J70" s="48"/>
      <c r="K70" s="103"/>
      <c r="L70" s="39">
        <f t="shared" si="2"/>
        <v>0</v>
      </c>
      <c r="M70" s="67"/>
    </row>
    <row r="71" spans="1:37" ht="23.25" customHeight="1" x14ac:dyDescent="0.25">
      <c r="A71" s="43">
        <v>58</v>
      </c>
      <c r="B71" s="129">
        <v>14</v>
      </c>
      <c r="C71" s="68" t="s">
        <v>175</v>
      </c>
      <c r="D71" s="68" t="s">
        <v>176</v>
      </c>
      <c r="E71" s="79" t="s">
        <v>177</v>
      </c>
      <c r="F71" s="44" t="s">
        <v>141</v>
      </c>
      <c r="G71" s="80">
        <v>1008016084</v>
      </c>
      <c r="H71" s="80"/>
      <c r="I71" s="47">
        <f>310000+150000</f>
        <v>460000</v>
      </c>
      <c r="J71" s="48"/>
      <c r="K71" s="96">
        <f>350000+110000</f>
        <v>460000</v>
      </c>
      <c r="L71" s="39">
        <f t="shared" si="2"/>
        <v>0</v>
      </c>
      <c r="M71" s="84"/>
      <c r="N71" s="71" t="e">
        <f>SUM(L58+L61+#REF!+L62+L63+#REF!+#REF!+#REF!+L67+L69+#REF!+L71+L72)</f>
        <v>#REF!</v>
      </c>
    </row>
    <row r="72" spans="1:37" ht="23.25" customHeight="1" x14ac:dyDescent="0.25">
      <c r="A72" s="43">
        <v>59</v>
      </c>
      <c r="B72" s="129">
        <v>15</v>
      </c>
      <c r="C72" s="68" t="s">
        <v>178</v>
      </c>
      <c r="D72" s="68" t="s">
        <v>179</v>
      </c>
      <c r="E72" s="79"/>
      <c r="F72" s="44" t="s">
        <v>141</v>
      </c>
      <c r="G72" s="80">
        <v>1008448676</v>
      </c>
      <c r="H72" s="80"/>
      <c r="I72" s="47">
        <f>310000</f>
        <v>310000</v>
      </c>
      <c r="J72" s="48"/>
      <c r="K72" s="96">
        <f>60000+100000+80000</f>
        <v>240000</v>
      </c>
      <c r="L72" s="39">
        <f t="shared" si="2"/>
        <v>70000</v>
      </c>
      <c r="M72" s="84"/>
    </row>
    <row r="73" spans="1:37" s="77" customFormat="1" ht="23.25" customHeight="1" x14ac:dyDescent="0.25">
      <c r="A73" s="43">
        <v>60</v>
      </c>
      <c r="B73" s="129">
        <v>16</v>
      </c>
      <c r="C73" s="149" t="s">
        <v>180</v>
      </c>
      <c r="D73" s="149" t="s">
        <v>181</v>
      </c>
      <c r="E73" s="150" t="s">
        <v>182</v>
      </c>
      <c r="F73" s="44" t="s">
        <v>141</v>
      </c>
      <c r="G73" s="151"/>
      <c r="H73" s="151"/>
      <c r="I73" s="47">
        <f>'[1]1st term 2025'!J67</f>
        <v>80000</v>
      </c>
      <c r="J73" s="48"/>
      <c r="K73" s="152">
        <f>80000</f>
        <v>80000</v>
      </c>
      <c r="L73" s="39">
        <f t="shared" si="2"/>
        <v>0</v>
      </c>
      <c r="M73" s="153"/>
      <c r="N73" s="154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</row>
    <row r="74" spans="1:37" ht="24" customHeight="1" x14ac:dyDescent="0.25">
      <c r="A74" s="43">
        <v>61</v>
      </c>
      <c r="B74" s="129">
        <v>17</v>
      </c>
      <c r="C74" s="155" t="s">
        <v>183</v>
      </c>
      <c r="D74" s="155" t="s">
        <v>184</v>
      </c>
      <c r="E74" s="156" t="s">
        <v>185</v>
      </c>
      <c r="F74" s="44" t="s">
        <v>141</v>
      </c>
      <c r="G74" s="157">
        <v>1008697299</v>
      </c>
      <c r="H74" s="157"/>
      <c r="I74" s="47">
        <f>310000</f>
        <v>310000</v>
      </c>
      <c r="J74" s="48"/>
      <c r="K74" s="158">
        <f>100000+100000+110000</f>
        <v>310000</v>
      </c>
      <c r="L74" s="39">
        <f t="shared" si="2"/>
        <v>0</v>
      </c>
      <c r="M74" s="159" t="s">
        <v>186</v>
      </c>
      <c r="N74" s="154"/>
    </row>
    <row r="75" spans="1:37" ht="23.25" customHeight="1" x14ac:dyDescent="0.25">
      <c r="A75" s="43">
        <v>62</v>
      </c>
      <c r="B75" s="129">
        <v>18</v>
      </c>
      <c r="C75" s="155" t="s">
        <v>187</v>
      </c>
      <c r="D75" s="155" t="s">
        <v>188</v>
      </c>
      <c r="E75" s="156" t="s">
        <v>189</v>
      </c>
      <c r="F75" s="44" t="s">
        <v>141</v>
      </c>
      <c r="G75" s="157"/>
      <c r="H75" s="157"/>
      <c r="I75" s="47">
        <f>'[1]1st term 2025'!J69</f>
        <v>500000</v>
      </c>
      <c r="J75" s="48"/>
      <c r="K75" s="158">
        <f>500000</f>
        <v>500000</v>
      </c>
      <c r="L75" s="39">
        <f t="shared" si="2"/>
        <v>0</v>
      </c>
      <c r="M75" s="160" t="s">
        <v>190</v>
      </c>
      <c r="N75" s="154"/>
    </row>
    <row r="76" spans="1:37" ht="23.25" customHeight="1" x14ac:dyDescent="0.25">
      <c r="A76" s="43">
        <v>63</v>
      </c>
      <c r="B76" s="129">
        <v>19</v>
      </c>
      <c r="C76" s="155" t="s">
        <v>191</v>
      </c>
      <c r="D76" s="155" t="s">
        <v>192</v>
      </c>
      <c r="E76" s="156"/>
      <c r="F76" s="44" t="s">
        <v>141</v>
      </c>
      <c r="G76" s="157">
        <v>1008817815</v>
      </c>
      <c r="H76" s="157"/>
      <c r="I76" s="47">
        <f>310000</f>
        <v>310000</v>
      </c>
      <c r="J76" s="48"/>
      <c r="K76" s="158">
        <f>310000</f>
        <v>310000</v>
      </c>
      <c r="L76" s="39">
        <f t="shared" si="2"/>
        <v>0</v>
      </c>
      <c r="M76" s="160"/>
      <c r="N76" s="154"/>
    </row>
    <row r="77" spans="1:37" ht="23.25" customHeight="1" x14ac:dyDescent="0.25">
      <c r="A77" s="43">
        <v>66</v>
      </c>
      <c r="B77" s="129">
        <v>20</v>
      </c>
      <c r="C77" s="155" t="s">
        <v>59</v>
      </c>
      <c r="D77" s="155" t="s">
        <v>193</v>
      </c>
      <c r="E77" s="156" t="s">
        <v>194</v>
      </c>
      <c r="F77" s="44" t="s">
        <v>141</v>
      </c>
      <c r="G77" s="157">
        <v>100888579</v>
      </c>
      <c r="H77" s="157"/>
      <c r="I77" s="47">
        <f>290000</f>
        <v>290000</v>
      </c>
      <c r="J77" s="48"/>
      <c r="K77" s="158">
        <f>100000+100000+90000</f>
        <v>290000</v>
      </c>
      <c r="L77" s="39">
        <f t="shared" si="2"/>
        <v>0</v>
      </c>
      <c r="M77" s="160"/>
      <c r="N77" s="154"/>
    </row>
    <row r="78" spans="1:37" ht="23.25" customHeight="1" x14ac:dyDescent="0.25">
      <c r="A78" s="43"/>
      <c r="B78" s="129">
        <v>21</v>
      </c>
      <c r="C78" s="155" t="s">
        <v>195</v>
      </c>
      <c r="D78" s="155" t="s">
        <v>196</v>
      </c>
      <c r="E78" s="156" t="s">
        <v>197</v>
      </c>
      <c r="F78" s="44" t="s">
        <v>141</v>
      </c>
      <c r="G78" s="157"/>
      <c r="H78" s="157"/>
      <c r="I78" s="47">
        <f>310000</f>
        <v>310000</v>
      </c>
      <c r="J78" s="48"/>
      <c r="K78" s="158">
        <f>200000+110000</f>
        <v>310000</v>
      </c>
      <c r="L78" s="39">
        <f t="shared" si="2"/>
        <v>0</v>
      </c>
      <c r="M78" s="160" t="s">
        <v>198</v>
      </c>
      <c r="N78" s="154"/>
    </row>
    <row r="79" spans="1:37" ht="23.25" customHeight="1" x14ac:dyDescent="0.25">
      <c r="A79" s="43"/>
      <c r="B79" s="129">
        <v>22</v>
      </c>
      <c r="C79" s="155" t="s">
        <v>199</v>
      </c>
      <c r="D79" s="155" t="s">
        <v>200</v>
      </c>
      <c r="E79" s="156" t="s">
        <v>201</v>
      </c>
      <c r="F79" s="44" t="s">
        <v>141</v>
      </c>
      <c r="G79" s="157"/>
      <c r="H79" s="157"/>
      <c r="I79" s="47">
        <f>310000</f>
        <v>310000</v>
      </c>
      <c r="J79" s="48"/>
      <c r="K79" s="158">
        <f>100000+100000+110000</f>
        <v>310000</v>
      </c>
      <c r="L79" s="39">
        <f t="shared" si="2"/>
        <v>0</v>
      </c>
      <c r="M79" s="160"/>
      <c r="N79" s="154"/>
    </row>
    <row r="80" spans="1:37" ht="23.25" customHeight="1" x14ac:dyDescent="0.25">
      <c r="A80" s="43">
        <v>34</v>
      </c>
      <c r="B80" s="129">
        <v>23</v>
      </c>
      <c r="C80" s="44" t="s">
        <v>202</v>
      </c>
      <c r="D80" s="44" t="s">
        <v>203</v>
      </c>
      <c r="E80" s="45" t="s">
        <v>38</v>
      </c>
      <c r="F80" s="44" t="s">
        <v>141</v>
      </c>
      <c r="G80" s="46">
        <v>1008730703</v>
      </c>
      <c r="H80" s="46"/>
      <c r="I80" s="47">
        <f>200000</f>
        <v>200000</v>
      </c>
      <c r="J80" s="48"/>
      <c r="K80" s="161">
        <f>200000</f>
        <v>200000</v>
      </c>
      <c r="L80" s="39">
        <f t="shared" si="2"/>
        <v>0</v>
      </c>
      <c r="M80" s="43" t="s">
        <v>43</v>
      </c>
      <c r="N80" s="71"/>
    </row>
    <row r="81" spans="1:14" ht="23.25" customHeight="1" x14ac:dyDescent="0.25">
      <c r="A81" s="43"/>
      <c r="B81" s="129">
        <v>24</v>
      </c>
      <c r="C81" s="104" t="s">
        <v>204</v>
      </c>
      <c r="D81" s="41" t="s">
        <v>203</v>
      </c>
      <c r="E81" s="105" t="s">
        <v>205</v>
      </c>
      <c r="F81" s="44" t="s">
        <v>141</v>
      </c>
      <c r="G81" s="106"/>
      <c r="H81" s="106"/>
      <c r="I81" s="47">
        <f>310000+50000</f>
        <v>360000</v>
      </c>
      <c r="J81" s="48"/>
      <c r="K81" s="107">
        <f>200000+160000</f>
        <v>360000</v>
      </c>
      <c r="L81" s="39">
        <f t="shared" si="2"/>
        <v>0</v>
      </c>
      <c r="M81" s="108"/>
      <c r="N81" s="154"/>
    </row>
    <row r="82" spans="1:14" ht="23.25" customHeight="1" x14ac:dyDescent="0.25">
      <c r="A82" s="43"/>
      <c r="B82" s="129">
        <v>25</v>
      </c>
      <c r="C82" s="104" t="s">
        <v>44</v>
      </c>
      <c r="D82" s="50" t="s">
        <v>206</v>
      </c>
      <c r="E82" s="105"/>
      <c r="F82" s="44" t="s">
        <v>141</v>
      </c>
      <c r="G82" s="106"/>
      <c r="H82" s="106"/>
      <c r="I82" s="47">
        <v>250000</v>
      </c>
      <c r="J82" s="48"/>
      <c r="K82" s="107">
        <f>200000+50000</f>
        <v>250000</v>
      </c>
      <c r="L82" s="39">
        <f t="shared" si="2"/>
        <v>0</v>
      </c>
      <c r="M82" s="108"/>
      <c r="N82" s="154"/>
    </row>
    <row r="83" spans="1:14" ht="23.25" customHeight="1" x14ac:dyDescent="0.25">
      <c r="A83" s="43"/>
      <c r="B83" s="129">
        <v>26</v>
      </c>
      <c r="C83" s="104" t="s">
        <v>207</v>
      </c>
      <c r="D83" s="50" t="s">
        <v>208</v>
      </c>
      <c r="E83" s="105"/>
      <c r="F83" s="44" t="s">
        <v>141</v>
      </c>
      <c r="G83" s="106"/>
      <c r="H83" s="106"/>
      <c r="I83" s="47">
        <v>310000</v>
      </c>
      <c r="J83" s="48"/>
      <c r="K83" s="107">
        <f>150000+100000+60000</f>
        <v>310000</v>
      </c>
      <c r="L83" s="39">
        <f t="shared" si="2"/>
        <v>0</v>
      </c>
      <c r="M83" s="108"/>
      <c r="N83" s="154"/>
    </row>
    <row r="84" spans="1:14" ht="23.25" customHeight="1" x14ac:dyDescent="0.25">
      <c r="A84" s="43"/>
      <c r="B84" s="129">
        <v>27</v>
      </c>
      <c r="C84" s="104" t="s">
        <v>209</v>
      </c>
      <c r="D84" s="50" t="s">
        <v>210</v>
      </c>
      <c r="E84" s="105"/>
      <c r="F84" s="44" t="s">
        <v>141</v>
      </c>
      <c r="G84" s="106"/>
      <c r="H84" s="106"/>
      <c r="I84" s="47">
        <f>270000</f>
        <v>270000</v>
      </c>
      <c r="J84" s="48"/>
      <c r="K84" s="107">
        <f>100000+170000</f>
        <v>270000</v>
      </c>
      <c r="L84" s="39">
        <f t="shared" si="2"/>
        <v>0</v>
      </c>
      <c r="M84" s="108"/>
      <c r="N84" s="154"/>
    </row>
    <row r="85" spans="1:14" ht="23.25" customHeight="1" x14ac:dyDescent="0.25">
      <c r="A85" s="43">
        <v>76</v>
      </c>
      <c r="B85" s="129">
        <v>28</v>
      </c>
      <c r="C85" s="129" t="s">
        <v>211</v>
      </c>
      <c r="D85" s="129" t="s">
        <v>212</v>
      </c>
      <c r="E85" s="130" t="s">
        <v>213</v>
      </c>
      <c r="F85" s="44" t="s">
        <v>141</v>
      </c>
      <c r="G85" s="131"/>
      <c r="H85" s="131"/>
      <c r="I85" s="47">
        <v>530000</v>
      </c>
      <c r="J85" s="48"/>
      <c r="K85" s="142">
        <f>100000+200000+230000</f>
        <v>530000</v>
      </c>
      <c r="L85" s="39">
        <f t="shared" si="2"/>
        <v>0</v>
      </c>
      <c r="M85" s="143" t="s">
        <v>214</v>
      </c>
      <c r="N85" s="154"/>
    </row>
    <row r="86" spans="1:14" ht="23.25" customHeight="1" x14ac:dyDescent="0.25">
      <c r="A86" s="43"/>
      <c r="B86" s="129">
        <v>29</v>
      </c>
      <c r="C86" s="104" t="s">
        <v>215</v>
      </c>
      <c r="D86" s="50" t="s">
        <v>216</v>
      </c>
      <c r="E86" s="105" t="s">
        <v>217</v>
      </c>
      <c r="F86" s="44" t="s">
        <v>141</v>
      </c>
      <c r="G86" s="106"/>
      <c r="H86" s="106"/>
      <c r="I86" s="47">
        <v>280000</v>
      </c>
      <c r="J86" s="48"/>
      <c r="K86" s="107">
        <f>280000</f>
        <v>280000</v>
      </c>
      <c r="L86" s="39">
        <f t="shared" si="2"/>
        <v>0</v>
      </c>
      <c r="M86" s="108"/>
      <c r="N86" s="154"/>
    </row>
    <row r="87" spans="1:14" ht="23.25" customHeight="1" x14ac:dyDescent="0.25">
      <c r="A87" s="43"/>
      <c r="B87" s="129">
        <v>30</v>
      </c>
      <c r="C87" s="104" t="s">
        <v>218</v>
      </c>
      <c r="D87" s="50" t="s">
        <v>219</v>
      </c>
      <c r="E87" s="105" t="s">
        <v>217</v>
      </c>
      <c r="F87" s="44" t="s">
        <v>220</v>
      </c>
      <c r="G87" s="106"/>
      <c r="H87" s="106"/>
      <c r="I87" s="47">
        <v>280000</v>
      </c>
      <c r="J87" s="48"/>
      <c r="K87" s="107">
        <f>280000</f>
        <v>280000</v>
      </c>
      <c r="L87" s="39">
        <f t="shared" si="2"/>
        <v>0</v>
      </c>
      <c r="M87" s="108"/>
      <c r="N87" s="154"/>
    </row>
    <row r="88" spans="1:14" ht="23.25" customHeight="1" x14ac:dyDescent="0.25">
      <c r="A88" s="43"/>
      <c r="B88" s="129"/>
      <c r="C88" s="104"/>
      <c r="D88" s="50"/>
      <c r="E88" s="105"/>
      <c r="F88" s="44"/>
      <c r="G88" s="106"/>
      <c r="H88" s="106"/>
      <c r="I88" s="47"/>
      <c r="J88" s="48"/>
      <c r="K88" s="107"/>
      <c r="L88" s="39">
        <f t="shared" si="2"/>
        <v>0</v>
      </c>
      <c r="M88" s="108"/>
      <c r="N88" s="154"/>
    </row>
    <row r="89" spans="1:14" ht="23.25" customHeight="1" x14ac:dyDescent="0.25">
      <c r="A89" s="43"/>
      <c r="B89" s="129"/>
      <c r="C89" s="104"/>
      <c r="D89" s="50"/>
      <c r="E89" s="105"/>
      <c r="F89" s="44"/>
      <c r="G89" s="106"/>
      <c r="H89" s="106"/>
      <c r="I89" s="47"/>
      <c r="J89" s="48"/>
      <c r="K89" s="107"/>
      <c r="L89" s="39">
        <f t="shared" si="2"/>
        <v>0</v>
      </c>
      <c r="M89" s="108"/>
      <c r="N89" s="154"/>
    </row>
    <row r="90" spans="1:14" ht="23.25" customHeight="1" x14ac:dyDescent="0.25">
      <c r="A90" s="43"/>
      <c r="B90" s="129"/>
      <c r="C90" s="104"/>
      <c r="D90" s="50"/>
      <c r="E90" s="105"/>
      <c r="F90" s="44"/>
      <c r="G90" s="106"/>
      <c r="H90" s="106"/>
      <c r="I90" s="47"/>
      <c r="J90" s="48"/>
      <c r="K90" s="107"/>
      <c r="L90" s="39"/>
      <c r="M90" s="108"/>
      <c r="N90" s="154"/>
    </row>
    <row r="91" spans="1:14" ht="23.25" customHeight="1" x14ac:dyDescent="0.3">
      <c r="A91" s="43"/>
      <c r="B91" s="129"/>
      <c r="C91" s="104" t="s">
        <v>221</v>
      </c>
      <c r="D91" s="162" t="s">
        <v>222</v>
      </c>
      <c r="E91" s="105"/>
      <c r="F91" s="106"/>
      <c r="G91" s="106"/>
      <c r="H91" s="106"/>
      <c r="I91" s="47">
        <f>'[1]1st term 2025'!J78</f>
        <v>0</v>
      </c>
      <c r="J91" s="48"/>
      <c r="K91" s="107"/>
      <c r="L91" s="39">
        <f t="shared" si="2"/>
        <v>0</v>
      </c>
      <c r="M91" s="108"/>
      <c r="N91" s="154"/>
    </row>
    <row r="92" spans="1:14" ht="23.25" customHeight="1" x14ac:dyDescent="0.25">
      <c r="A92" s="43">
        <v>71</v>
      </c>
      <c r="B92" s="129">
        <v>1</v>
      </c>
      <c r="C92" s="163" t="s">
        <v>223</v>
      </c>
      <c r="D92" s="163"/>
      <c r="E92" s="164" t="s">
        <v>224</v>
      </c>
      <c r="F92" s="163" t="s">
        <v>225</v>
      </c>
      <c r="G92" s="165">
        <v>1003372958</v>
      </c>
      <c r="H92" s="165">
        <v>705716541</v>
      </c>
      <c r="I92" s="47">
        <f>'[1]1st term 2025'!J82</f>
        <v>310000</v>
      </c>
      <c r="J92" s="48"/>
      <c r="K92" s="166">
        <f>150000+50000+50000</f>
        <v>250000</v>
      </c>
      <c r="L92" s="39">
        <f t="shared" si="2"/>
        <v>60000</v>
      </c>
      <c r="M92" s="167"/>
      <c r="N92" s="168" t="e">
        <f>L101+#REF!</f>
        <v>#REF!</v>
      </c>
    </row>
    <row r="93" spans="1:14" ht="23.25" customHeight="1" x14ac:dyDescent="0.25">
      <c r="A93" s="43">
        <v>73</v>
      </c>
      <c r="B93" s="129">
        <v>2</v>
      </c>
      <c r="C93" s="163" t="s">
        <v>111</v>
      </c>
      <c r="D93" s="163"/>
      <c r="E93" s="164" t="s">
        <v>226</v>
      </c>
      <c r="F93" s="163" t="s">
        <v>225</v>
      </c>
      <c r="G93" s="165">
        <v>1003172778</v>
      </c>
      <c r="H93" s="165">
        <v>776727575</v>
      </c>
      <c r="I93" s="47">
        <f>'[1]1st term 2025'!J84</f>
        <v>310000</v>
      </c>
      <c r="J93" s="48"/>
      <c r="K93" s="166">
        <f>200000+110000</f>
        <v>310000</v>
      </c>
      <c r="L93" s="39">
        <f t="shared" si="2"/>
        <v>0</v>
      </c>
      <c r="M93" s="167" t="s">
        <v>227</v>
      </c>
      <c r="N93" s="169">
        <v>320000</v>
      </c>
    </row>
    <row r="94" spans="1:14" ht="23.25" customHeight="1" x14ac:dyDescent="0.25">
      <c r="A94" s="43">
        <v>74</v>
      </c>
      <c r="B94" s="129">
        <v>3</v>
      </c>
      <c r="C94" s="163" t="s">
        <v>228</v>
      </c>
      <c r="D94" s="163"/>
      <c r="E94" s="170" t="s">
        <v>229</v>
      </c>
      <c r="F94" s="163" t="s">
        <v>225</v>
      </c>
      <c r="G94" s="171">
        <v>1006597116</v>
      </c>
      <c r="H94" s="171"/>
      <c r="I94" s="47">
        <f>'[1]1st term 2025'!J85</f>
        <v>310000</v>
      </c>
      <c r="J94" s="48"/>
      <c r="K94" s="172">
        <f>200000+110000</f>
        <v>310000</v>
      </c>
      <c r="L94" s="39">
        <f t="shared" si="2"/>
        <v>0</v>
      </c>
      <c r="M94" s="173" t="s">
        <v>214</v>
      </c>
      <c r="N94" s="154"/>
    </row>
    <row r="95" spans="1:14" ht="23.25" customHeight="1" x14ac:dyDescent="0.25">
      <c r="A95" s="43">
        <v>75</v>
      </c>
      <c r="B95" s="129">
        <v>4</v>
      </c>
      <c r="C95" s="137" t="s">
        <v>230</v>
      </c>
      <c r="D95" s="137"/>
      <c r="E95" s="138" t="s">
        <v>231</v>
      </c>
      <c r="F95" s="163" t="s">
        <v>225</v>
      </c>
      <c r="G95" s="174">
        <v>1006613689</v>
      </c>
      <c r="H95" s="174"/>
      <c r="I95" s="47">
        <v>0</v>
      </c>
      <c r="J95" s="48"/>
      <c r="K95" s="175"/>
      <c r="L95" s="39">
        <f t="shared" si="2"/>
        <v>0</v>
      </c>
      <c r="M95" s="176" t="s">
        <v>214</v>
      </c>
      <c r="N95" s="154" t="s">
        <v>232</v>
      </c>
    </row>
    <row r="96" spans="1:14" s="84" customFormat="1" ht="23.25" customHeight="1" x14ac:dyDescent="0.25">
      <c r="A96" s="78">
        <v>78</v>
      </c>
      <c r="B96" s="129">
        <v>5</v>
      </c>
      <c r="C96" s="129" t="s">
        <v>24</v>
      </c>
      <c r="D96" s="129" t="s">
        <v>233</v>
      </c>
      <c r="E96" s="130" t="s">
        <v>234</v>
      </c>
      <c r="F96" s="129" t="s">
        <v>225</v>
      </c>
      <c r="G96" s="131">
        <v>1005532248</v>
      </c>
      <c r="H96" s="131"/>
      <c r="I96" s="49">
        <f>'[1]1st term 2025'!J89</f>
        <v>310000</v>
      </c>
      <c r="J96" s="49"/>
      <c r="K96" s="142">
        <f>100000+100000</f>
        <v>200000</v>
      </c>
      <c r="L96" s="81">
        <f t="shared" si="2"/>
        <v>110000</v>
      </c>
      <c r="M96" s="143"/>
      <c r="N96" s="160"/>
    </row>
    <row r="97" spans="1:37" ht="23.25" customHeight="1" x14ac:dyDescent="0.25">
      <c r="A97" s="43">
        <v>79</v>
      </c>
      <c r="B97" s="129">
        <v>6</v>
      </c>
      <c r="C97" s="104" t="s">
        <v>235</v>
      </c>
      <c r="D97" s="104"/>
      <c r="E97" s="105" t="s">
        <v>236</v>
      </c>
      <c r="F97" s="163" t="s">
        <v>225</v>
      </c>
      <c r="G97" s="106">
        <v>1004773962</v>
      </c>
      <c r="H97" s="106">
        <v>782025680</v>
      </c>
      <c r="I97" s="47">
        <f>'[1]1st term 2025'!J90</f>
        <v>310000</v>
      </c>
      <c r="J97" s="48"/>
      <c r="K97" s="166">
        <f>250000+60000</f>
        <v>310000</v>
      </c>
      <c r="L97" s="39">
        <f t="shared" si="2"/>
        <v>0</v>
      </c>
      <c r="M97" s="177" t="s">
        <v>237</v>
      </c>
      <c r="N97" s="154"/>
    </row>
    <row r="98" spans="1:37" ht="23.25" customHeight="1" x14ac:dyDescent="0.25">
      <c r="A98" s="43">
        <v>83</v>
      </c>
      <c r="B98" s="129">
        <v>7</v>
      </c>
      <c r="C98" s="155" t="s">
        <v>238</v>
      </c>
      <c r="D98" s="155" t="s">
        <v>239</v>
      </c>
      <c r="E98" s="156" t="s">
        <v>240</v>
      </c>
      <c r="F98" s="163" t="s">
        <v>225</v>
      </c>
      <c r="G98" s="157">
        <v>1008697259</v>
      </c>
      <c r="H98" s="157"/>
      <c r="I98" s="47">
        <f>'[1]1st term 2025'!J94</f>
        <v>310000</v>
      </c>
      <c r="J98" s="48"/>
      <c r="K98" s="158">
        <f>100000+100000+110000</f>
        <v>310000</v>
      </c>
      <c r="L98" s="39">
        <f t="shared" si="2"/>
        <v>0</v>
      </c>
      <c r="M98" s="160"/>
      <c r="N98" s="154"/>
    </row>
    <row r="99" spans="1:37" ht="23.25" customHeight="1" x14ac:dyDescent="0.25">
      <c r="A99" s="43">
        <v>84</v>
      </c>
      <c r="B99" s="129">
        <v>8</v>
      </c>
      <c r="C99" s="155" t="s">
        <v>33</v>
      </c>
      <c r="D99" s="155" t="s">
        <v>241</v>
      </c>
      <c r="E99" s="156" t="s">
        <v>242</v>
      </c>
      <c r="F99" s="163" t="s">
        <v>225</v>
      </c>
      <c r="G99" s="157">
        <v>1008713245</v>
      </c>
      <c r="H99" s="157"/>
      <c r="I99" s="47">
        <f>'[1]1st term 2025'!J95</f>
        <v>310000</v>
      </c>
      <c r="J99" s="48"/>
      <c r="K99" s="158">
        <f>150000+150000+10000</f>
        <v>310000</v>
      </c>
      <c r="L99" s="39">
        <f t="shared" si="2"/>
        <v>0</v>
      </c>
      <c r="M99" s="160"/>
      <c r="N99" s="154"/>
    </row>
    <row r="100" spans="1:37" ht="23.25" customHeight="1" x14ac:dyDescent="0.25">
      <c r="A100" s="43">
        <v>85</v>
      </c>
      <c r="B100" s="129">
        <v>9</v>
      </c>
      <c r="C100" s="155" t="s">
        <v>243</v>
      </c>
      <c r="D100" s="155"/>
      <c r="E100" s="156" t="s">
        <v>244</v>
      </c>
      <c r="F100" s="163" t="s">
        <v>225</v>
      </c>
      <c r="G100" s="157">
        <v>1008849945</v>
      </c>
      <c r="H100" s="157"/>
      <c r="I100" s="47">
        <f>290000</f>
        <v>290000</v>
      </c>
      <c r="J100" s="48"/>
      <c r="K100" s="158">
        <f>290000</f>
        <v>290000</v>
      </c>
      <c r="L100" s="39">
        <f t="shared" si="2"/>
        <v>0</v>
      </c>
      <c r="M100" s="160" t="s">
        <v>43</v>
      </c>
      <c r="N100" s="154"/>
    </row>
    <row r="101" spans="1:37" s="77" customFormat="1" ht="23.25" customHeight="1" x14ac:dyDescent="0.25">
      <c r="A101" s="43">
        <v>87</v>
      </c>
      <c r="B101" s="129">
        <v>10</v>
      </c>
      <c r="C101" s="149" t="s">
        <v>245</v>
      </c>
      <c r="D101" s="149" t="s">
        <v>246</v>
      </c>
      <c r="E101" s="150"/>
      <c r="F101" s="163" t="s">
        <v>225</v>
      </c>
      <c r="G101" s="151">
        <v>1008878445</v>
      </c>
      <c r="H101" s="151"/>
      <c r="I101" s="47">
        <f>'[1]1st term 2025'!J98</f>
        <v>80000</v>
      </c>
      <c r="J101" s="48"/>
      <c r="K101" s="152">
        <f>80000</f>
        <v>80000</v>
      </c>
      <c r="L101" s="39">
        <f t="shared" si="2"/>
        <v>0</v>
      </c>
      <c r="M101" s="153"/>
      <c r="N101" s="154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</row>
    <row r="102" spans="1:37" ht="23.25" customHeight="1" x14ac:dyDescent="0.25">
      <c r="A102" s="43">
        <v>88</v>
      </c>
      <c r="B102" s="129">
        <v>11</v>
      </c>
      <c r="C102" s="155" t="s">
        <v>247</v>
      </c>
      <c r="D102" s="155" t="s">
        <v>248</v>
      </c>
      <c r="E102" s="156" t="s">
        <v>249</v>
      </c>
      <c r="F102" s="163" t="s">
        <v>225</v>
      </c>
      <c r="G102" s="157">
        <v>100888661</v>
      </c>
      <c r="H102" s="157"/>
      <c r="I102" s="47">
        <f>'[1]1st term 2025'!J99</f>
        <v>260000</v>
      </c>
      <c r="J102" s="48"/>
      <c r="K102" s="158">
        <f>230000+30000</f>
        <v>260000</v>
      </c>
      <c r="L102" s="39">
        <f t="shared" si="2"/>
        <v>0</v>
      </c>
      <c r="M102" s="160"/>
      <c r="N102" s="154"/>
    </row>
    <row r="103" spans="1:37" ht="23.25" customHeight="1" x14ac:dyDescent="0.25">
      <c r="A103" s="43">
        <v>89</v>
      </c>
      <c r="B103" s="129">
        <v>12</v>
      </c>
      <c r="C103" s="155" t="s">
        <v>250</v>
      </c>
      <c r="D103" s="155" t="s">
        <v>251</v>
      </c>
      <c r="E103" s="156" t="s">
        <v>252</v>
      </c>
      <c r="F103" s="163" t="s">
        <v>225</v>
      </c>
      <c r="G103" s="157">
        <v>1008894881</v>
      </c>
      <c r="H103" s="157"/>
      <c r="I103" s="47">
        <f>300000</f>
        <v>300000</v>
      </c>
      <c r="J103" s="48"/>
      <c r="K103" s="158">
        <f>100000+100000+100000</f>
        <v>300000</v>
      </c>
      <c r="L103" s="39">
        <f t="shared" si="2"/>
        <v>0</v>
      </c>
      <c r="M103" s="160"/>
      <c r="N103" s="154"/>
    </row>
    <row r="104" spans="1:37" s="77" customFormat="1" ht="23.25" customHeight="1" x14ac:dyDescent="0.25">
      <c r="A104" s="43">
        <v>90</v>
      </c>
      <c r="B104" s="129">
        <v>13</v>
      </c>
      <c r="C104" s="149" t="s">
        <v>253</v>
      </c>
      <c r="D104" s="149" t="s">
        <v>254</v>
      </c>
      <c r="E104" s="150" t="s">
        <v>255</v>
      </c>
      <c r="F104" s="163" t="s">
        <v>225</v>
      </c>
      <c r="G104" s="151">
        <v>100</v>
      </c>
      <c r="H104" s="151"/>
      <c r="I104" s="47">
        <v>310000</v>
      </c>
      <c r="J104" s="48"/>
      <c r="K104" s="152">
        <f>195000</f>
        <v>195000</v>
      </c>
      <c r="L104" s="39">
        <f t="shared" si="2"/>
        <v>115000</v>
      </c>
      <c r="M104" s="153"/>
      <c r="N104" s="169">
        <v>190000</v>
      </c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</row>
    <row r="105" spans="1:37" ht="23.25" customHeight="1" x14ac:dyDescent="0.25">
      <c r="A105" s="43">
        <v>91</v>
      </c>
      <c r="B105" s="129">
        <v>14</v>
      </c>
      <c r="C105" s="155" t="s">
        <v>256</v>
      </c>
      <c r="D105" s="155"/>
      <c r="E105" s="156" t="s">
        <v>257</v>
      </c>
      <c r="F105" s="163" t="s">
        <v>225</v>
      </c>
      <c r="G105" s="157">
        <v>1008984556</v>
      </c>
      <c r="H105" s="157"/>
      <c r="I105" s="47">
        <f>'[1]1st term 2025'!J102</f>
        <v>400000</v>
      </c>
      <c r="J105" s="48"/>
      <c r="K105" s="158">
        <f>200000+100000+100000</f>
        <v>400000</v>
      </c>
      <c r="L105" s="39">
        <f t="shared" si="2"/>
        <v>0</v>
      </c>
      <c r="M105" s="160" t="s">
        <v>131</v>
      </c>
      <c r="N105" s="154"/>
    </row>
    <row r="106" spans="1:37" s="78" customFormat="1" ht="23.25" customHeight="1" x14ac:dyDescent="0.25">
      <c r="B106" s="129">
        <v>15</v>
      </c>
      <c r="C106" s="155" t="s">
        <v>258</v>
      </c>
      <c r="D106" s="155" t="s">
        <v>206</v>
      </c>
      <c r="E106" s="155" t="s">
        <v>259</v>
      </c>
      <c r="F106" s="129" t="s">
        <v>260</v>
      </c>
      <c r="G106" s="157">
        <v>1010605242</v>
      </c>
      <c r="H106" s="157"/>
      <c r="I106" s="49">
        <v>310000</v>
      </c>
      <c r="J106" s="49"/>
      <c r="K106" s="158">
        <f>100000+50000+100000+60000</f>
        <v>310000</v>
      </c>
      <c r="L106" s="178">
        <f t="shared" si="2"/>
        <v>0</v>
      </c>
      <c r="M106" s="179"/>
      <c r="N106" s="179"/>
    </row>
    <row r="107" spans="1:37" s="78" customFormat="1" ht="23.25" customHeight="1" x14ac:dyDescent="0.25">
      <c r="B107" s="129">
        <v>16</v>
      </c>
      <c r="C107" s="155" t="s">
        <v>261</v>
      </c>
      <c r="D107" s="155" t="s">
        <v>262</v>
      </c>
      <c r="E107" s="155"/>
      <c r="F107" s="129" t="s">
        <v>260</v>
      </c>
      <c r="G107" s="157">
        <v>1010668311</v>
      </c>
      <c r="H107" s="157"/>
      <c r="I107" s="49">
        <v>275000</v>
      </c>
      <c r="J107" s="49"/>
      <c r="K107" s="158">
        <f>135000+100000+40000</f>
        <v>275000</v>
      </c>
      <c r="L107" s="178">
        <f t="shared" si="2"/>
        <v>0</v>
      </c>
      <c r="M107" s="179"/>
      <c r="N107" s="179"/>
    </row>
    <row r="108" spans="1:37" s="59" customFormat="1" ht="23.25" customHeight="1" x14ac:dyDescent="0.25">
      <c r="B108" s="132">
        <v>17</v>
      </c>
      <c r="C108" s="195" t="s">
        <v>539</v>
      </c>
      <c r="D108" s="195" t="s">
        <v>540</v>
      </c>
      <c r="E108" s="195"/>
      <c r="F108" s="129" t="s">
        <v>260</v>
      </c>
      <c r="G108" s="197"/>
      <c r="H108" s="197"/>
      <c r="I108" s="63"/>
      <c r="J108" s="63"/>
      <c r="K108" s="198"/>
      <c r="L108" s="224">
        <f t="shared" si="2"/>
        <v>0</v>
      </c>
      <c r="M108" s="225"/>
      <c r="N108" s="225"/>
    </row>
    <row r="109" spans="1:37" s="78" customFormat="1" ht="23.25" customHeight="1" x14ac:dyDescent="0.25">
      <c r="B109" s="129"/>
      <c r="C109" s="155"/>
      <c r="D109" s="155"/>
      <c r="E109" s="155"/>
      <c r="F109" s="129"/>
      <c r="G109" s="157"/>
      <c r="H109" s="157"/>
      <c r="I109" s="49"/>
      <c r="J109" s="49"/>
      <c r="K109" s="158"/>
      <c r="L109" s="81"/>
      <c r="M109" s="179"/>
      <c r="N109" s="179"/>
    </row>
    <row r="110" spans="1:37" x14ac:dyDescent="0.25">
      <c r="J110" s="37"/>
      <c r="L110" s="180">
        <f t="shared" si="2"/>
        <v>0</v>
      </c>
    </row>
    <row r="111" spans="1:37" ht="23.25" customHeight="1" x14ac:dyDescent="0.3">
      <c r="A111" s="43"/>
      <c r="B111" s="129"/>
      <c r="C111" s="181" t="s">
        <v>263</v>
      </c>
      <c r="D111" s="104" t="s">
        <v>221</v>
      </c>
      <c r="E111" s="105"/>
      <c r="F111" s="106"/>
      <c r="G111" s="106"/>
      <c r="H111" s="106"/>
      <c r="I111" s="47">
        <f>'[1]1st term 2025'!J109</f>
        <v>0</v>
      </c>
      <c r="J111" s="48"/>
      <c r="K111" s="166"/>
      <c r="L111" s="39">
        <f t="shared" si="2"/>
        <v>0</v>
      </c>
      <c r="M111" s="182"/>
    </row>
    <row r="112" spans="1:37" ht="23.25" customHeight="1" x14ac:dyDescent="0.25">
      <c r="A112" s="43">
        <v>98</v>
      </c>
      <c r="B112" s="129">
        <v>1</v>
      </c>
      <c r="C112" s="183" t="s">
        <v>70</v>
      </c>
      <c r="D112" s="183"/>
      <c r="E112" s="184" t="s">
        <v>264</v>
      </c>
      <c r="F112" s="104" t="s">
        <v>265</v>
      </c>
      <c r="G112" s="185">
        <v>1003468140</v>
      </c>
      <c r="H112" s="185">
        <v>709324224</v>
      </c>
      <c r="I112" s="47">
        <f>67000</f>
        <v>67000</v>
      </c>
      <c r="J112" s="48"/>
      <c r="K112" s="186">
        <f>60000</f>
        <v>60000</v>
      </c>
      <c r="L112" s="39">
        <f t="shared" si="2"/>
        <v>7000</v>
      </c>
      <c r="M112" s="187"/>
      <c r="N112" s="188">
        <v>34000</v>
      </c>
    </row>
    <row r="113" spans="1:37" ht="23.25" customHeight="1" x14ac:dyDescent="0.25">
      <c r="A113" s="43">
        <v>99</v>
      </c>
      <c r="B113" s="129">
        <v>2</v>
      </c>
      <c r="C113" s="163" t="s">
        <v>44</v>
      </c>
      <c r="D113" s="163" t="s">
        <v>266</v>
      </c>
      <c r="E113" s="164" t="s">
        <v>267</v>
      </c>
      <c r="F113" s="104" t="s">
        <v>265</v>
      </c>
      <c r="G113" s="165">
        <v>1003297990</v>
      </c>
      <c r="H113" s="165">
        <v>772682179</v>
      </c>
      <c r="I113" s="47">
        <f>'[1]1st term 2025'!J112</f>
        <v>310000</v>
      </c>
      <c r="J113" s="48"/>
      <c r="K113" s="166">
        <f>150000+100000+60000</f>
        <v>310000</v>
      </c>
      <c r="L113" s="39">
        <f t="shared" si="2"/>
        <v>0</v>
      </c>
      <c r="M113" s="167"/>
      <c r="N113" s="99"/>
    </row>
    <row r="114" spans="1:37" ht="23.25" customHeight="1" x14ac:dyDescent="0.25">
      <c r="A114" s="43">
        <v>100</v>
      </c>
      <c r="B114" s="129">
        <v>3</v>
      </c>
      <c r="C114" s="129" t="s">
        <v>268</v>
      </c>
      <c r="D114" s="129"/>
      <c r="E114" s="130" t="s">
        <v>269</v>
      </c>
      <c r="F114" s="104" t="s">
        <v>265</v>
      </c>
      <c r="G114" s="131">
        <v>1003939847</v>
      </c>
      <c r="H114" s="131">
        <v>705362439</v>
      </c>
      <c r="I114" s="47">
        <f>310000</f>
        <v>310000</v>
      </c>
      <c r="J114" s="48"/>
      <c r="K114" s="107">
        <f>100000</f>
        <v>100000</v>
      </c>
      <c r="L114" s="39">
        <f t="shared" si="2"/>
        <v>210000</v>
      </c>
      <c r="M114" s="78" t="s">
        <v>270</v>
      </c>
      <c r="N114" s="109">
        <v>300000</v>
      </c>
    </row>
    <row r="115" spans="1:37" ht="23.25" customHeight="1" x14ac:dyDescent="0.25">
      <c r="A115" s="43">
        <v>101</v>
      </c>
      <c r="B115" s="129">
        <v>4</v>
      </c>
      <c r="C115" s="132" t="s">
        <v>271</v>
      </c>
      <c r="D115" s="132" t="s">
        <v>272</v>
      </c>
      <c r="E115" s="133" t="s">
        <v>273</v>
      </c>
      <c r="F115" s="104" t="s">
        <v>265</v>
      </c>
      <c r="G115" s="134">
        <v>1003548101</v>
      </c>
      <c r="H115" s="134"/>
      <c r="I115" s="47">
        <v>0</v>
      </c>
      <c r="J115" s="48"/>
      <c r="K115" s="135"/>
      <c r="L115" s="39">
        <f t="shared" si="2"/>
        <v>0</v>
      </c>
      <c r="M115" s="59"/>
    </row>
    <row r="116" spans="1:37" ht="23.25" customHeight="1" x14ac:dyDescent="0.25">
      <c r="A116" s="43">
        <v>102</v>
      </c>
      <c r="B116" s="129">
        <v>5</v>
      </c>
      <c r="C116" s="104" t="s">
        <v>274</v>
      </c>
      <c r="D116" s="104"/>
      <c r="E116" s="105" t="s">
        <v>275</v>
      </c>
      <c r="F116" s="104" t="s">
        <v>265</v>
      </c>
      <c r="G116" s="106">
        <v>1003272934</v>
      </c>
      <c r="H116" s="106">
        <v>703654744</v>
      </c>
      <c r="I116" s="47">
        <f>'[1]1st term 2025'!J115</f>
        <v>310000</v>
      </c>
      <c r="J116" s="48"/>
      <c r="K116" s="166">
        <f>100000+50000+50000</f>
        <v>200000</v>
      </c>
      <c r="L116" s="39">
        <f t="shared" si="2"/>
        <v>110000</v>
      </c>
      <c r="M116" s="108"/>
    </row>
    <row r="117" spans="1:37" ht="23.25" customHeight="1" x14ac:dyDescent="0.25">
      <c r="A117" s="43">
        <v>103</v>
      </c>
      <c r="B117" s="129">
        <v>6</v>
      </c>
      <c r="C117" s="104" t="s">
        <v>276</v>
      </c>
      <c r="D117" s="104" t="s">
        <v>277</v>
      </c>
      <c r="E117" s="105" t="s">
        <v>278</v>
      </c>
      <c r="F117" s="104" t="s">
        <v>265</v>
      </c>
      <c r="G117" s="106"/>
      <c r="H117" s="106">
        <v>754770660</v>
      </c>
      <c r="I117" s="47">
        <f>'[1]1st term 2025'!J116</f>
        <v>310000</v>
      </c>
      <c r="J117" s="48"/>
      <c r="K117" s="166">
        <f>100000+150000</f>
        <v>250000</v>
      </c>
      <c r="L117" s="39">
        <f t="shared" si="2"/>
        <v>60000</v>
      </c>
      <c r="M117" s="189"/>
    </row>
    <row r="118" spans="1:37" ht="23.25" customHeight="1" x14ac:dyDescent="0.25">
      <c r="A118" s="43">
        <v>104</v>
      </c>
      <c r="B118" s="129">
        <v>7</v>
      </c>
      <c r="C118" s="163" t="s">
        <v>40</v>
      </c>
      <c r="D118" s="163" t="s">
        <v>279</v>
      </c>
      <c r="E118" s="164" t="s">
        <v>135</v>
      </c>
      <c r="F118" s="104" t="s">
        <v>265</v>
      </c>
      <c r="G118" s="165">
        <v>1003307679</v>
      </c>
      <c r="H118" s="165">
        <v>752818987</v>
      </c>
      <c r="I118" s="47">
        <f>'[1]1st term 2025'!J117</f>
        <v>510000</v>
      </c>
      <c r="J118" s="48"/>
      <c r="K118" s="166">
        <v>300000</v>
      </c>
      <c r="L118" s="39">
        <f t="shared" si="2"/>
        <v>210000</v>
      </c>
      <c r="M118" s="177" t="s">
        <v>131</v>
      </c>
    </row>
    <row r="119" spans="1:37" ht="23.25" customHeight="1" x14ac:dyDescent="0.25">
      <c r="A119" s="43">
        <v>106</v>
      </c>
      <c r="B119" s="129">
        <v>8</v>
      </c>
      <c r="C119" s="137" t="s">
        <v>280</v>
      </c>
      <c r="D119" s="137"/>
      <c r="E119" s="138" t="s">
        <v>281</v>
      </c>
      <c r="F119" s="104" t="s">
        <v>265</v>
      </c>
      <c r="G119" s="139">
        <v>1006613665</v>
      </c>
      <c r="H119" s="139"/>
      <c r="I119" s="47">
        <v>0</v>
      </c>
      <c r="J119" s="48"/>
      <c r="K119" s="140"/>
      <c r="L119" s="39">
        <f t="shared" si="2"/>
        <v>0</v>
      </c>
      <c r="M119" s="141" t="s">
        <v>214</v>
      </c>
    </row>
    <row r="120" spans="1:37" ht="23.25" customHeight="1" x14ac:dyDescent="0.25">
      <c r="A120" s="43">
        <v>107</v>
      </c>
      <c r="B120" s="129">
        <v>9</v>
      </c>
      <c r="C120" s="163" t="s">
        <v>282</v>
      </c>
      <c r="D120" s="163" t="s">
        <v>283</v>
      </c>
      <c r="E120" s="164" t="s">
        <v>284</v>
      </c>
      <c r="F120" s="104" t="s">
        <v>265</v>
      </c>
      <c r="G120" s="165">
        <v>1006831724</v>
      </c>
      <c r="H120" s="165"/>
      <c r="I120" s="47">
        <f>'[1]1st term 2025'!J120</f>
        <v>310000</v>
      </c>
      <c r="J120" s="48"/>
      <c r="K120" s="166">
        <f>335000+335000</f>
        <v>670000</v>
      </c>
      <c r="L120" s="39">
        <f t="shared" si="2"/>
        <v>-360000</v>
      </c>
      <c r="M120" s="108"/>
    </row>
    <row r="121" spans="1:37" ht="23.25" customHeight="1" x14ac:dyDescent="0.25">
      <c r="A121" s="43">
        <v>108</v>
      </c>
      <c r="B121" s="129">
        <v>10</v>
      </c>
      <c r="C121" s="163" t="s">
        <v>285</v>
      </c>
      <c r="D121" s="163"/>
      <c r="E121" s="164" t="s">
        <v>286</v>
      </c>
      <c r="F121" s="104" t="s">
        <v>265</v>
      </c>
      <c r="G121" s="165">
        <v>1006959658</v>
      </c>
      <c r="H121" s="165"/>
      <c r="I121" s="47">
        <f>'[1]1st term 2025'!J121</f>
        <v>310000</v>
      </c>
      <c r="J121" s="48"/>
      <c r="K121" s="166">
        <f>155000+155000</f>
        <v>310000</v>
      </c>
      <c r="L121" s="39">
        <f t="shared" si="2"/>
        <v>0</v>
      </c>
      <c r="M121" s="108"/>
    </row>
    <row r="122" spans="1:37" ht="23.25" customHeight="1" x14ac:dyDescent="0.25">
      <c r="A122" s="43">
        <v>109</v>
      </c>
      <c r="B122" s="129">
        <v>11</v>
      </c>
      <c r="C122" s="190" t="s">
        <v>287</v>
      </c>
      <c r="D122" s="190" t="s">
        <v>288</v>
      </c>
      <c r="E122" s="191" t="s">
        <v>289</v>
      </c>
      <c r="F122" s="104" t="s">
        <v>265</v>
      </c>
      <c r="G122" s="192">
        <v>1007019895</v>
      </c>
      <c r="H122" s="192"/>
      <c r="I122" s="47">
        <f>'[1]1st term 2025'!J122</f>
        <v>170000</v>
      </c>
      <c r="J122" s="48"/>
      <c r="K122" s="193">
        <f>300000+110000</f>
        <v>410000</v>
      </c>
      <c r="L122" s="39">
        <f t="shared" si="2"/>
        <v>-240000</v>
      </c>
      <c r="M122" s="98" t="s">
        <v>131</v>
      </c>
    </row>
    <row r="123" spans="1:37" ht="23.25" customHeight="1" x14ac:dyDescent="0.25">
      <c r="A123" s="43">
        <v>110</v>
      </c>
      <c r="B123" s="129">
        <v>12</v>
      </c>
      <c r="C123" s="129" t="s">
        <v>290</v>
      </c>
      <c r="D123" s="129" t="s">
        <v>291</v>
      </c>
      <c r="E123" s="130" t="s">
        <v>292</v>
      </c>
      <c r="F123" s="104" t="s">
        <v>265</v>
      </c>
      <c r="G123" s="131">
        <v>1006836474</v>
      </c>
      <c r="H123" s="131"/>
      <c r="I123" s="47">
        <f>'[1]1st term 2025'!J123</f>
        <v>310000</v>
      </c>
      <c r="J123" s="48"/>
      <c r="K123" s="107">
        <f>155000+155000</f>
        <v>310000</v>
      </c>
      <c r="L123" s="39">
        <f t="shared" si="2"/>
        <v>0</v>
      </c>
      <c r="M123" s="78"/>
    </row>
    <row r="124" spans="1:37" ht="23.25" customHeight="1" x14ac:dyDescent="0.25">
      <c r="A124" s="43">
        <v>111</v>
      </c>
      <c r="B124" s="129">
        <v>13</v>
      </c>
      <c r="C124" s="132" t="s">
        <v>293</v>
      </c>
      <c r="D124" s="132" t="s">
        <v>294</v>
      </c>
      <c r="E124" s="133"/>
      <c r="F124" s="104" t="s">
        <v>265</v>
      </c>
      <c r="G124" s="134">
        <v>1007278529</v>
      </c>
      <c r="H124" s="134"/>
      <c r="I124" s="47">
        <v>0</v>
      </c>
      <c r="J124" s="48"/>
      <c r="K124" s="135"/>
      <c r="L124" s="39">
        <f t="shared" si="2"/>
        <v>0</v>
      </c>
      <c r="M124" s="59" t="s">
        <v>295</v>
      </c>
    </row>
    <row r="125" spans="1:37" ht="23.25" customHeight="1" x14ac:dyDescent="0.25">
      <c r="A125" s="43">
        <v>112</v>
      </c>
      <c r="B125" s="129">
        <v>14</v>
      </c>
      <c r="C125" s="183" t="s">
        <v>296</v>
      </c>
      <c r="D125" s="183" t="s">
        <v>297</v>
      </c>
      <c r="E125" s="184"/>
      <c r="F125" s="104" t="s">
        <v>265</v>
      </c>
      <c r="G125" s="185"/>
      <c r="H125" s="185"/>
      <c r="I125" s="47">
        <v>0</v>
      </c>
      <c r="J125" s="48"/>
      <c r="K125" s="186"/>
      <c r="L125" s="39">
        <f t="shared" ref="L125:L186" si="3">I125+J125-K125</f>
        <v>0</v>
      </c>
      <c r="M125" s="187" t="s">
        <v>131</v>
      </c>
      <c r="N125" s="42" t="s">
        <v>170</v>
      </c>
    </row>
    <row r="126" spans="1:37" ht="23.25" customHeight="1" x14ac:dyDescent="0.25">
      <c r="A126" s="43">
        <v>113</v>
      </c>
      <c r="B126" s="129">
        <v>15</v>
      </c>
      <c r="C126" s="129" t="s">
        <v>298</v>
      </c>
      <c r="D126" s="129" t="s">
        <v>299</v>
      </c>
      <c r="E126" s="130"/>
      <c r="F126" s="104" t="s">
        <v>265</v>
      </c>
      <c r="G126" s="131">
        <v>1008698601</v>
      </c>
      <c r="H126" s="131"/>
      <c r="I126" s="47">
        <f>310000+150000</f>
        <v>460000</v>
      </c>
      <c r="J126" s="48"/>
      <c r="K126" s="107">
        <f>40000+50000+370000</f>
        <v>460000</v>
      </c>
      <c r="L126" s="39">
        <f t="shared" si="3"/>
        <v>0</v>
      </c>
      <c r="M126" s="78" t="s">
        <v>536</v>
      </c>
    </row>
    <row r="127" spans="1:37" ht="23.25" customHeight="1" x14ac:dyDescent="0.25">
      <c r="A127" s="43">
        <v>114</v>
      </c>
      <c r="B127" s="129">
        <v>16</v>
      </c>
      <c r="C127" s="129" t="s">
        <v>300</v>
      </c>
      <c r="D127" s="129"/>
      <c r="E127" s="130" t="s">
        <v>301</v>
      </c>
      <c r="F127" s="104" t="s">
        <v>265</v>
      </c>
      <c r="G127" s="131">
        <v>1008704587</v>
      </c>
      <c r="H127" s="131"/>
      <c r="I127" s="47">
        <f>'[1]1st term 2025'!J127</f>
        <v>310000</v>
      </c>
      <c r="J127" s="48"/>
      <c r="K127" s="107">
        <f>170000+40000+100000</f>
        <v>310000</v>
      </c>
      <c r="L127" s="39">
        <f t="shared" si="3"/>
        <v>0</v>
      </c>
      <c r="M127" s="78" t="s">
        <v>527</v>
      </c>
    </row>
    <row r="128" spans="1:37" s="77" customFormat="1" ht="23.25" customHeight="1" x14ac:dyDescent="0.25">
      <c r="A128" s="43">
        <v>115</v>
      </c>
      <c r="B128" s="129">
        <v>17</v>
      </c>
      <c r="C128" s="190" t="s">
        <v>302</v>
      </c>
      <c r="D128" s="194" t="s">
        <v>303</v>
      </c>
      <c r="E128" s="191"/>
      <c r="F128" s="104" t="s">
        <v>265</v>
      </c>
      <c r="G128" s="192">
        <v>1008878201</v>
      </c>
      <c r="H128" s="192"/>
      <c r="I128" s="47">
        <f>170000</f>
        <v>170000</v>
      </c>
      <c r="J128" s="48"/>
      <c r="K128" s="193">
        <f>30000+70000+70000</f>
        <v>170000</v>
      </c>
      <c r="L128" s="39">
        <f t="shared" si="3"/>
        <v>0</v>
      </c>
      <c r="M128" s="98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</row>
    <row r="129" spans="1:37" s="77" customFormat="1" ht="23.25" customHeight="1" x14ac:dyDescent="0.25">
      <c r="A129" s="43">
        <v>116</v>
      </c>
      <c r="B129" s="129">
        <v>18</v>
      </c>
      <c r="C129" s="190" t="s">
        <v>245</v>
      </c>
      <c r="D129" s="190" t="s">
        <v>304</v>
      </c>
      <c r="E129" s="191"/>
      <c r="F129" s="104" t="s">
        <v>265</v>
      </c>
      <c r="G129" s="192">
        <v>1008878377</v>
      </c>
      <c r="H129" s="192"/>
      <c r="I129" s="47">
        <f>170000</f>
        <v>170000</v>
      </c>
      <c r="J129" s="48"/>
      <c r="K129" s="193">
        <f>100000+70000</f>
        <v>170000</v>
      </c>
      <c r="L129" s="39">
        <f t="shared" si="3"/>
        <v>0</v>
      </c>
      <c r="M129" s="98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</row>
    <row r="130" spans="1:37" s="84" customFormat="1" ht="23.25" customHeight="1" x14ac:dyDescent="0.25">
      <c r="A130" s="43">
        <v>117</v>
      </c>
      <c r="B130" s="129">
        <v>19</v>
      </c>
      <c r="C130" s="129" t="s">
        <v>305</v>
      </c>
      <c r="D130" s="129" t="s">
        <v>180</v>
      </c>
      <c r="E130" s="130"/>
      <c r="F130" s="104" t="s">
        <v>265</v>
      </c>
      <c r="G130" s="131">
        <v>1009035618</v>
      </c>
      <c r="H130" s="131"/>
      <c r="I130" s="47">
        <f>'[1]1st term 2025'!J130</f>
        <v>430000</v>
      </c>
      <c r="J130" s="48"/>
      <c r="K130" s="107">
        <f>125000</f>
        <v>125000</v>
      </c>
      <c r="L130" s="39">
        <f t="shared" si="3"/>
        <v>305000</v>
      </c>
      <c r="M130" s="78" t="s">
        <v>295</v>
      </c>
      <c r="N130" s="109">
        <v>307000</v>
      </c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</row>
    <row r="131" spans="1:37" ht="23.25" customHeight="1" x14ac:dyDescent="0.25">
      <c r="A131" s="43">
        <v>118</v>
      </c>
      <c r="B131" s="129">
        <v>20</v>
      </c>
      <c r="C131" s="155" t="s">
        <v>306</v>
      </c>
      <c r="D131" s="155" t="s">
        <v>307</v>
      </c>
      <c r="E131" s="156" t="s">
        <v>308</v>
      </c>
      <c r="F131" s="104" t="s">
        <v>265</v>
      </c>
      <c r="G131" s="157">
        <v>100888871</v>
      </c>
      <c r="H131" s="157"/>
      <c r="I131" s="47">
        <f>'[1]1st term 2025'!J131</f>
        <v>260000</v>
      </c>
      <c r="J131" s="48"/>
      <c r="K131" s="158">
        <f>230000+30000</f>
        <v>260000</v>
      </c>
      <c r="L131" s="39">
        <f t="shared" si="3"/>
        <v>0</v>
      </c>
      <c r="M131" s="160"/>
      <c r="N131" s="154"/>
    </row>
    <row r="132" spans="1:37" ht="23.25" customHeight="1" x14ac:dyDescent="0.25">
      <c r="A132" s="43"/>
      <c r="B132" s="129">
        <v>21</v>
      </c>
      <c r="C132" s="155" t="s">
        <v>309</v>
      </c>
      <c r="D132" s="155" t="s">
        <v>310</v>
      </c>
      <c r="E132" s="156" t="s">
        <v>311</v>
      </c>
      <c r="F132" s="104" t="s">
        <v>265</v>
      </c>
      <c r="G132" s="157"/>
      <c r="H132" s="157"/>
      <c r="I132" s="47">
        <f>400000</f>
        <v>400000</v>
      </c>
      <c r="J132" s="48"/>
      <c r="K132" s="158">
        <f>200000+200000</f>
        <v>400000</v>
      </c>
      <c r="L132" s="39">
        <f t="shared" si="3"/>
        <v>0</v>
      </c>
      <c r="M132" s="160" t="s">
        <v>131</v>
      </c>
      <c r="N132" s="154"/>
    </row>
    <row r="133" spans="1:37" ht="23.25" customHeight="1" x14ac:dyDescent="0.25">
      <c r="A133" s="43"/>
      <c r="B133" s="129">
        <v>22</v>
      </c>
      <c r="C133" s="155" t="s">
        <v>312</v>
      </c>
      <c r="D133" s="155" t="s">
        <v>313</v>
      </c>
      <c r="E133" s="156"/>
      <c r="F133" s="104" t="s">
        <v>265</v>
      </c>
      <c r="G133" s="157">
        <v>1010509300</v>
      </c>
      <c r="H133" s="157"/>
      <c r="I133" s="47">
        <v>310000</v>
      </c>
      <c r="J133" s="48"/>
      <c r="K133" s="158">
        <f>100000+130000+80000</f>
        <v>310000</v>
      </c>
      <c r="L133" s="39">
        <f t="shared" si="3"/>
        <v>0</v>
      </c>
      <c r="M133" s="160"/>
      <c r="N133" s="154"/>
    </row>
    <row r="134" spans="1:37" ht="23.25" customHeight="1" x14ac:dyDescent="0.25">
      <c r="A134" s="43"/>
      <c r="B134" s="129">
        <v>23</v>
      </c>
      <c r="C134" s="155" t="s">
        <v>314</v>
      </c>
      <c r="D134" s="155" t="s">
        <v>70</v>
      </c>
      <c r="E134" s="156" t="s">
        <v>315</v>
      </c>
      <c r="F134" s="104" t="s">
        <v>316</v>
      </c>
      <c r="G134" s="157"/>
      <c r="H134" s="157"/>
      <c r="I134" s="47">
        <v>410000</v>
      </c>
      <c r="J134" s="48"/>
      <c r="K134" s="158">
        <v>410000</v>
      </c>
      <c r="L134" s="39">
        <f t="shared" si="3"/>
        <v>0</v>
      </c>
      <c r="M134" s="160"/>
      <c r="N134" s="154"/>
    </row>
    <row r="135" spans="1:37" ht="23.25" customHeight="1" x14ac:dyDescent="0.25">
      <c r="A135" s="43"/>
      <c r="B135" s="129">
        <v>24</v>
      </c>
      <c r="C135" s="155" t="s">
        <v>317</v>
      </c>
      <c r="D135" s="155" t="s">
        <v>318</v>
      </c>
      <c r="E135" s="156" t="s">
        <v>319</v>
      </c>
      <c r="F135" s="104" t="s">
        <v>316</v>
      </c>
      <c r="G135" s="157">
        <v>1010668353</v>
      </c>
      <c r="H135" s="157"/>
      <c r="I135" s="47">
        <v>275000</v>
      </c>
      <c r="J135" s="48"/>
      <c r="K135" s="158">
        <f>135000+100000+40000</f>
        <v>275000</v>
      </c>
      <c r="L135" s="39">
        <f t="shared" si="3"/>
        <v>0</v>
      </c>
      <c r="M135" s="160"/>
      <c r="N135" s="154"/>
    </row>
    <row r="136" spans="1:37" ht="23.25" customHeight="1" x14ac:dyDescent="0.25">
      <c r="A136" s="43"/>
      <c r="B136" s="129">
        <v>25</v>
      </c>
      <c r="C136" s="155" t="s">
        <v>320</v>
      </c>
      <c r="D136" s="155" t="s">
        <v>321</v>
      </c>
      <c r="E136" s="156"/>
      <c r="F136" s="104" t="s">
        <v>316</v>
      </c>
      <c r="G136" s="157"/>
      <c r="H136" s="157"/>
      <c r="I136" s="47">
        <v>310000</v>
      </c>
      <c r="J136" s="48"/>
      <c r="K136" s="158">
        <f>110000+100000</f>
        <v>210000</v>
      </c>
      <c r="L136" s="39">
        <f t="shared" si="3"/>
        <v>100000</v>
      </c>
      <c r="M136" s="160"/>
      <c r="N136" s="154"/>
    </row>
    <row r="137" spans="1:37" s="67" customFormat="1" ht="23.25" customHeight="1" x14ac:dyDescent="0.25">
      <c r="A137" s="59"/>
      <c r="B137" s="129">
        <v>26</v>
      </c>
      <c r="C137" s="195" t="s">
        <v>322</v>
      </c>
      <c r="D137" s="195"/>
      <c r="E137" s="196"/>
      <c r="F137" s="132"/>
      <c r="G137" s="197"/>
      <c r="H137" s="197"/>
      <c r="I137" s="63"/>
      <c r="J137" s="63"/>
      <c r="K137" s="198"/>
      <c r="L137" s="64">
        <f t="shared" si="3"/>
        <v>0</v>
      </c>
      <c r="M137" s="199"/>
      <c r="N137" s="199"/>
    </row>
    <row r="138" spans="1:37" ht="23.25" customHeight="1" x14ac:dyDescent="0.25">
      <c r="A138" s="43"/>
      <c r="B138" s="129"/>
      <c r="C138" s="155"/>
      <c r="D138" s="155"/>
      <c r="E138" s="156"/>
      <c r="F138" s="104"/>
      <c r="G138" s="157"/>
      <c r="H138" s="157"/>
      <c r="I138" s="47"/>
      <c r="J138" s="48"/>
      <c r="K138" s="158"/>
      <c r="L138" s="39"/>
      <c r="M138" s="160"/>
      <c r="N138" s="154"/>
    </row>
    <row r="139" spans="1:37" s="84" customFormat="1" ht="23.25" customHeight="1" x14ac:dyDescent="0.3">
      <c r="A139" s="78"/>
      <c r="B139" s="129"/>
      <c r="C139" s="155"/>
      <c r="D139" s="155"/>
      <c r="E139" s="156"/>
      <c r="F139" s="200" t="s">
        <v>323</v>
      </c>
      <c r="G139" s="157"/>
      <c r="H139" s="157"/>
      <c r="I139" s="47"/>
      <c r="J139" s="48"/>
      <c r="K139" s="158"/>
      <c r="L139" s="39">
        <f t="shared" si="3"/>
        <v>0</v>
      </c>
      <c r="M139" s="160"/>
      <c r="N139" s="154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</row>
    <row r="140" spans="1:37" s="84" customFormat="1" ht="23.25" customHeight="1" x14ac:dyDescent="0.25">
      <c r="A140" s="78"/>
      <c r="B140" s="129"/>
      <c r="C140" s="155"/>
      <c r="D140" s="155"/>
      <c r="E140" s="156"/>
      <c r="F140" s="131"/>
      <c r="G140" s="157"/>
      <c r="H140" s="157"/>
      <c r="I140" s="47"/>
      <c r="J140" s="48"/>
      <c r="K140" s="158"/>
      <c r="L140" s="39">
        <f t="shared" si="3"/>
        <v>0</v>
      </c>
      <c r="M140" s="160"/>
      <c r="N140" s="154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</row>
    <row r="141" spans="1:37" ht="23.25" customHeight="1" x14ac:dyDescent="0.25">
      <c r="A141" s="43">
        <v>119</v>
      </c>
      <c r="B141" s="129">
        <v>1</v>
      </c>
      <c r="C141" s="104" t="s">
        <v>324</v>
      </c>
      <c r="D141" s="104" t="s">
        <v>325</v>
      </c>
      <c r="E141" s="105" t="s">
        <v>326</v>
      </c>
      <c r="F141" s="104" t="s">
        <v>327</v>
      </c>
      <c r="G141" s="106">
        <v>1004824716</v>
      </c>
      <c r="H141" s="106">
        <v>706948165</v>
      </c>
      <c r="I141" s="47">
        <v>350000</v>
      </c>
      <c r="J141" s="48"/>
      <c r="K141" s="166">
        <f>50000+100000+100000+100000</f>
        <v>350000</v>
      </c>
      <c r="L141" s="39">
        <f t="shared" si="3"/>
        <v>0</v>
      </c>
      <c r="M141" s="167"/>
    </row>
    <row r="142" spans="1:37" ht="23.25" customHeight="1" x14ac:dyDescent="0.25">
      <c r="A142" s="43">
        <v>121</v>
      </c>
      <c r="B142" s="129">
        <v>2</v>
      </c>
      <c r="C142" s="163" t="s">
        <v>328</v>
      </c>
      <c r="D142" s="163"/>
      <c r="E142" s="164" t="s">
        <v>315</v>
      </c>
      <c r="F142" s="104" t="s">
        <v>327</v>
      </c>
      <c r="G142" s="165">
        <v>1004900361</v>
      </c>
      <c r="H142" s="165">
        <v>750002200</v>
      </c>
      <c r="I142" s="47">
        <v>335000</v>
      </c>
      <c r="J142" s="48"/>
      <c r="K142" s="166">
        <f>100000+100000+100000+35000</f>
        <v>335000</v>
      </c>
      <c r="L142" s="39">
        <f t="shared" si="3"/>
        <v>0</v>
      </c>
      <c r="M142" s="108" t="s">
        <v>329</v>
      </c>
    </row>
    <row r="143" spans="1:37" ht="23.25" customHeight="1" x14ac:dyDescent="0.25">
      <c r="A143" s="43">
        <v>122</v>
      </c>
      <c r="B143" s="129">
        <v>3</v>
      </c>
      <c r="C143" s="163" t="s">
        <v>330</v>
      </c>
      <c r="D143" s="163" t="s">
        <v>331</v>
      </c>
      <c r="E143" s="164" t="s">
        <v>104</v>
      </c>
      <c r="F143" s="104" t="s">
        <v>327</v>
      </c>
      <c r="G143" s="165">
        <v>1004637127</v>
      </c>
      <c r="H143" s="165">
        <v>753534870</v>
      </c>
      <c r="I143" s="47">
        <f>'[1]1st term 2025'!J138</f>
        <v>630000</v>
      </c>
      <c r="J143" s="48"/>
      <c r="K143" s="166">
        <f>300000+100000+230000</f>
        <v>630000</v>
      </c>
      <c r="L143" s="39">
        <f t="shared" si="3"/>
        <v>0</v>
      </c>
      <c r="M143" s="78"/>
    </row>
    <row r="144" spans="1:37" ht="23.25" customHeight="1" x14ac:dyDescent="0.25">
      <c r="A144" s="43">
        <v>123</v>
      </c>
      <c r="B144" s="129">
        <v>4</v>
      </c>
      <c r="C144" s="163" t="s">
        <v>332</v>
      </c>
      <c r="D144" s="163" t="s">
        <v>333</v>
      </c>
      <c r="E144" s="164" t="s">
        <v>334</v>
      </c>
      <c r="F144" s="104" t="s">
        <v>327</v>
      </c>
      <c r="G144" s="165">
        <v>1003257666</v>
      </c>
      <c r="H144" s="165">
        <v>774564868</v>
      </c>
      <c r="I144" s="47">
        <v>335000</v>
      </c>
      <c r="J144" s="48"/>
      <c r="K144" s="166">
        <f>335000</f>
        <v>335000</v>
      </c>
      <c r="L144" s="39">
        <f t="shared" si="3"/>
        <v>0</v>
      </c>
      <c r="M144" s="108"/>
      <c r="N144" s="99" t="e">
        <f>#REF!+L142+#REF!+#REF!+#REF!+#REF!+#REF!</f>
        <v>#REF!</v>
      </c>
    </row>
    <row r="145" spans="1:37" ht="23.25" customHeight="1" x14ac:dyDescent="0.25">
      <c r="A145" s="43">
        <v>124</v>
      </c>
      <c r="B145" s="129">
        <v>5</v>
      </c>
      <c r="C145" s="104" t="s">
        <v>335</v>
      </c>
      <c r="D145" s="104"/>
      <c r="E145" s="105" t="s">
        <v>34</v>
      </c>
      <c r="F145" s="104" t="s">
        <v>327</v>
      </c>
      <c r="G145" s="106">
        <v>1004676770</v>
      </c>
      <c r="H145" s="106">
        <v>742472927</v>
      </c>
      <c r="I145" s="47">
        <v>335000</v>
      </c>
      <c r="J145" s="48"/>
      <c r="K145" s="166">
        <f>150000+185000</f>
        <v>335000</v>
      </c>
      <c r="L145" s="39">
        <f t="shared" si="3"/>
        <v>0</v>
      </c>
      <c r="M145" s="167"/>
    </row>
    <row r="146" spans="1:37" ht="23.25" customHeight="1" x14ac:dyDescent="0.25">
      <c r="A146" s="43">
        <v>127</v>
      </c>
      <c r="B146" s="129">
        <v>6</v>
      </c>
      <c r="C146" s="104" t="s">
        <v>336</v>
      </c>
      <c r="D146" s="104"/>
      <c r="E146" s="105" t="s">
        <v>337</v>
      </c>
      <c r="F146" s="104" t="s">
        <v>327</v>
      </c>
      <c r="G146" s="106">
        <v>1004722926</v>
      </c>
      <c r="H146" s="106">
        <v>706575416</v>
      </c>
      <c r="I146" s="47">
        <v>335000</v>
      </c>
      <c r="J146" s="48"/>
      <c r="K146" s="166">
        <f>200000+135000</f>
        <v>335000</v>
      </c>
      <c r="L146" s="39">
        <f t="shared" si="3"/>
        <v>0</v>
      </c>
      <c r="M146" s="167"/>
    </row>
    <row r="147" spans="1:37" ht="23.25" customHeight="1" x14ac:dyDescent="0.25">
      <c r="A147" s="43">
        <v>128</v>
      </c>
      <c r="B147" s="129">
        <v>7</v>
      </c>
      <c r="C147" s="163" t="s">
        <v>126</v>
      </c>
      <c r="D147" s="163" t="s">
        <v>338</v>
      </c>
      <c r="E147" s="164" t="s">
        <v>339</v>
      </c>
      <c r="F147" s="104" t="s">
        <v>327</v>
      </c>
      <c r="G147" s="165">
        <v>1005503844</v>
      </c>
      <c r="H147" s="165">
        <v>753640782</v>
      </c>
      <c r="I147" s="47">
        <v>335000</v>
      </c>
      <c r="J147" s="48"/>
      <c r="K147" s="166">
        <f>100000+100000+90000+45000</f>
        <v>335000</v>
      </c>
      <c r="L147" s="39">
        <f t="shared" si="3"/>
        <v>0</v>
      </c>
      <c r="M147" s="167"/>
    </row>
    <row r="148" spans="1:37" ht="23.25" customHeight="1" x14ac:dyDescent="0.25">
      <c r="A148" s="43">
        <v>129</v>
      </c>
      <c r="B148" s="129">
        <v>8</v>
      </c>
      <c r="C148" s="129" t="s">
        <v>340</v>
      </c>
      <c r="D148" s="129" t="s">
        <v>341</v>
      </c>
      <c r="E148" s="130" t="s">
        <v>284</v>
      </c>
      <c r="F148" s="104" t="s">
        <v>327</v>
      </c>
      <c r="G148" s="131">
        <v>10068317216</v>
      </c>
      <c r="H148" s="131"/>
      <c r="I148" s="47">
        <v>335000</v>
      </c>
      <c r="J148" s="48"/>
      <c r="K148" s="107">
        <f>335000+335000</f>
        <v>670000</v>
      </c>
      <c r="L148" s="39">
        <f t="shared" si="3"/>
        <v>-335000</v>
      </c>
      <c r="M148" s="78"/>
    </row>
    <row r="149" spans="1:37" ht="23.25" customHeight="1" x14ac:dyDescent="0.25">
      <c r="A149" s="43">
        <v>132</v>
      </c>
      <c r="B149" s="129">
        <v>9</v>
      </c>
      <c r="C149" s="129" t="s">
        <v>36</v>
      </c>
      <c r="D149" s="201" t="s">
        <v>180</v>
      </c>
      <c r="E149" s="130" t="s">
        <v>342</v>
      </c>
      <c r="F149" s="104" t="s">
        <v>327</v>
      </c>
      <c r="G149" s="131">
        <v>1008730723</v>
      </c>
      <c r="H149" s="131"/>
      <c r="I149" s="47">
        <v>300000</v>
      </c>
      <c r="J149" s="48"/>
      <c r="K149" s="107">
        <f>300000</f>
        <v>300000</v>
      </c>
      <c r="L149" s="39">
        <f t="shared" si="3"/>
        <v>0</v>
      </c>
      <c r="M149" s="78" t="s">
        <v>43</v>
      </c>
      <c r="N149" s="71"/>
    </row>
    <row r="150" spans="1:37" ht="23.25" customHeight="1" x14ac:dyDescent="0.25">
      <c r="A150" s="43">
        <v>133</v>
      </c>
      <c r="B150" s="129">
        <v>10</v>
      </c>
      <c r="C150" s="129" t="s">
        <v>343</v>
      </c>
      <c r="D150" s="201"/>
      <c r="E150" s="130" t="s">
        <v>344</v>
      </c>
      <c r="F150" s="104" t="s">
        <v>327</v>
      </c>
      <c r="G150" s="131">
        <v>1003308684</v>
      </c>
      <c r="H150" s="131"/>
      <c r="I150" s="47">
        <v>335000</v>
      </c>
      <c r="J150" s="48"/>
      <c r="K150" s="107">
        <f>100000+55000+50000+80000+50000</f>
        <v>335000</v>
      </c>
      <c r="L150" s="39">
        <f t="shared" si="3"/>
        <v>0</v>
      </c>
      <c r="M150" s="78"/>
      <c r="N150" s="71"/>
    </row>
    <row r="151" spans="1:37" ht="23.25" customHeight="1" x14ac:dyDescent="0.25">
      <c r="A151" s="43">
        <v>136</v>
      </c>
      <c r="B151" s="129">
        <v>11</v>
      </c>
      <c r="C151" s="129" t="s">
        <v>345</v>
      </c>
      <c r="D151" s="201" t="s">
        <v>59</v>
      </c>
      <c r="E151" s="130" t="s">
        <v>346</v>
      </c>
      <c r="F151" s="104" t="s">
        <v>327</v>
      </c>
      <c r="G151" s="131">
        <v>1008886077</v>
      </c>
      <c r="H151" s="131"/>
      <c r="I151" s="47">
        <f>310000+50000+100000</f>
        <v>460000</v>
      </c>
      <c r="J151" s="48"/>
      <c r="K151" s="107">
        <f>150000+150000+160000</f>
        <v>460000</v>
      </c>
      <c r="L151" s="39">
        <f t="shared" si="3"/>
        <v>0</v>
      </c>
      <c r="M151" s="78"/>
      <c r="N151" s="71"/>
    </row>
    <row r="152" spans="1:37" s="77" customFormat="1" ht="23.25" customHeight="1" x14ac:dyDescent="0.25">
      <c r="A152" s="43">
        <v>138</v>
      </c>
      <c r="B152" s="129">
        <v>12</v>
      </c>
      <c r="C152" s="190" t="s">
        <v>347</v>
      </c>
      <c r="D152" s="194" t="s">
        <v>219</v>
      </c>
      <c r="E152" s="191" t="s">
        <v>348</v>
      </c>
      <c r="F152" s="104" t="s">
        <v>327</v>
      </c>
      <c r="G152" s="192"/>
      <c r="H152" s="192"/>
      <c r="I152" s="47">
        <f>85000</f>
        <v>85000</v>
      </c>
      <c r="J152" s="48"/>
      <c r="K152" s="193">
        <f>85000</f>
        <v>85000</v>
      </c>
      <c r="L152" s="39">
        <f t="shared" si="3"/>
        <v>0</v>
      </c>
      <c r="M152" s="98"/>
      <c r="N152" s="71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</row>
    <row r="153" spans="1:37" s="77" customFormat="1" ht="23.25" customHeight="1" x14ac:dyDescent="0.25">
      <c r="A153" s="43">
        <v>140</v>
      </c>
      <c r="B153" s="129">
        <v>13</v>
      </c>
      <c r="C153" s="190" t="s">
        <v>349</v>
      </c>
      <c r="D153" s="194" t="s">
        <v>350</v>
      </c>
      <c r="E153" s="191"/>
      <c r="F153" s="104" t="s">
        <v>327</v>
      </c>
      <c r="G153" s="192"/>
      <c r="H153" s="192"/>
      <c r="I153" s="47">
        <f>85000</f>
        <v>85000</v>
      </c>
      <c r="J153" s="48"/>
      <c r="K153" s="193">
        <f>85000</f>
        <v>85000</v>
      </c>
      <c r="L153" s="39">
        <f t="shared" si="3"/>
        <v>0</v>
      </c>
      <c r="M153" s="98"/>
      <c r="N153" s="71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</row>
    <row r="154" spans="1:37" ht="23.25" customHeight="1" x14ac:dyDescent="0.25">
      <c r="A154" s="43"/>
      <c r="B154" s="129">
        <v>14</v>
      </c>
      <c r="C154" s="129" t="s">
        <v>351</v>
      </c>
      <c r="D154" s="201" t="s">
        <v>158</v>
      </c>
      <c r="E154" s="130" t="s">
        <v>70</v>
      </c>
      <c r="F154" s="104" t="s">
        <v>327</v>
      </c>
      <c r="G154" s="131"/>
      <c r="H154" s="131"/>
      <c r="I154" s="47">
        <f>400000+25000</f>
        <v>425000</v>
      </c>
      <c r="J154" s="48"/>
      <c r="K154" s="107">
        <f>200000+225000</f>
        <v>425000</v>
      </c>
      <c r="L154" s="39">
        <f t="shared" si="3"/>
        <v>0</v>
      </c>
      <c r="M154" s="78"/>
      <c r="N154" s="71" t="s">
        <v>352</v>
      </c>
    </row>
    <row r="155" spans="1:37" ht="23.25" customHeight="1" x14ac:dyDescent="0.25">
      <c r="A155" s="43"/>
      <c r="B155" s="129">
        <v>15</v>
      </c>
      <c r="C155" s="129" t="s">
        <v>353</v>
      </c>
      <c r="D155" s="201" t="s">
        <v>224</v>
      </c>
      <c r="E155" s="130" t="s">
        <v>354</v>
      </c>
      <c r="F155" s="104" t="s">
        <v>327</v>
      </c>
      <c r="G155" s="131"/>
      <c r="H155" s="131"/>
      <c r="I155" s="47">
        <v>290000</v>
      </c>
      <c r="J155" s="48"/>
      <c r="K155" s="107">
        <f>290000</f>
        <v>290000</v>
      </c>
      <c r="L155" s="39">
        <f t="shared" si="3"/>
        <v>0</v>
      </c>
      <c r="M155" s="78"/>
      <c r="N155" s="71"/>
    </row>
    <row r="156" spans="1:37" ht="23.25" customHeight="1" x14ac:dyDescent="0.25">
      <c r="A156" s="43"/>
      <c r="B156" s="129">
        <v>16</v>
      </c>
      <c r="C156" s="129" t="s">
        <v>355</v>
      </c>
      <c r="D156" s="201" t="s">
        <v>356</v>
      </c>
      <c r="E156" s="130"/>
      <c r="F156" s="131" t="s">
        <v>357</v>
      </c>
      <c r="G156" s="131"/>
      <c r="H156" s="131"/>
      <c r="I156" s="47">
        <v>335000</v>
      </c>
      <c r="J156" s="48"/>
      <c r="K156" s="107">
        <f>140000+100000+95000</f>
        <v>335000</v>
      </c>
      <c r="L156" s="39">
        <f t="shared" si="3"/>
        <v>0</v>
      </c>
      <c r="M156" s="78"/>
      <c r="N156" s="71"/>
    </row>
    <row r="157" spans="1:37" ht="23.25" customHeight="1" x14ac:dyDescent="0.25">
      <c r="A157" s="43"/>
      <c r="B157" s="129">
        <v>17</v>
      </c>
      <c r="C157" s="129" t="s">
        <v>358</v>
      </c>
      <c r="D157" s="201" t="s">
        <v>359</v>
      </c>
      <c r="E157" s="130" t="s">
        <v>360</v>
      </c>
      <c r="F157" s="131" t="s">
        <v>357</v>
      </c>
      <c r="G157" s="131"/>
      <c r="H157" s="131"/>
      <c r="I157" s="47">
        <v>310000</v>
      </c>
      <c r="J157" s="48"/>
      <c r="K157" s="107">
        <f>60000+9000+80000+50000</f>
        <v>199000</v>
      </c>
      <c r="L157" s="39">
        <f t="shared" si="3"/>
        <v>111000</v>
      </c>
      <c r="M157" s="78"/>
      <c r="N157" s="71"/>
    </row>
    <row r="158" spans="1:37" ht="23.25" customHeight="1" x14ac:dyDescent="0.25">
      <c r="A158" s="43"/>
      <c r="B158" s="129">
        <v>18</v>
      </c>
      <c r="C158" s="129" t="s">
        <v>104</v>
      </c>
      <c r="D158" s="201" t="s">
        <v>180</v>
      </c>
      <c r="E158" s="130"/>
      <c r="F158" s="131" t="s">
        <v>357</v>
      </c>
      <c r="G158" s="131"/>
      <c r="H158" s="131"/>
      <c r="I158" s="47">
        <v>335000</v>
      </c>
      <c r="J158" s="48"/>
      <c r="K158" s="107">
        <f>90000+60000+100000</f>
        <v>250000</v>
      </c>
      <c r="L158" s="39">
        <f t="shared" si="3"/>
        <v>85000</v>
      </c>
      <c r="M158" s="78"/>
      <c r="N158" s="71"/>
    </row>
    <row r="159" spans="1:37" ht="23.25" customHeight="1" x14ac:dyDescent="0.25">
      <c r="A159" s="43"/>
      <c r="B159" s="129">
        <v>19</v>
      </c>
      <c r="C159" s="129" t="s">
        <v>361</v>
      </c>
      <c r="D159" s="201" t="s">
        <v>362</v>
      </c>
      <c r="E159" s="130"/>
      <c r="F159" s="131" t="s">
        <v>357</v>
      </c>
      <c r="G159" s="131"/>
      <c r="H159" s="131"/>
      <c r="I159" s="47">
        <v>335000</v>
      </c>
      <c r="J159" s="48"/>
      <c r="K159" s="107">
        <f>90000+60000+100000</f>
        <v>250000</v>
      </c>
      <c r="L159" s="39">
        <f t="shared" si="3"/>
        <v>85000</v>
      </c>
      <c r="M159" s="78"/>
      <c r="N159" s="71"/>
    </row>
    <row r="160" spans="1:37" s="67" customFormat="1" ht="23.25" customHeight="1" x14ac:dyDescent="0.25">
      <c r="A160" s="59"/>
      <c r="B160" s="129">
        <v>20</v>
      </c>
      <c r="C160" s="132" t="s">
        <v>363</v>
      </c>
      <c r="D160" s="202" t="s">
        <v>364</v>
      </c>
      <c r="E160" s="133"/>
      <c r="F160" s="134"/>
      <c r="G160" s="134"/>
      <c r="H160" s="134"/>
      <c r="I160" s="63"/>
      <c r="J160" s="63"/>
      <c r="K160" s="135"/>
      <c r="L160" s="64"/>
      <c r="M160" s="59"/>
      <c r="N160" s="203"/>
    </row>
    <row r="161" spans="1:37" ht="23.25" customHeight="1" x14ac:dyDescent="0.3">
      <c r="A161" s="43"/>
      <c r="B161" s="129"/>
      <c r="C161" s="129"/>
      <c r="D161" s="204" t="s">
        <v>365</v>
      </c>
      <c r="E161" s="130"/>
      <c r="F161" s="131"/>
      <c r="G161" s="131"/>
      <c r="H161" s="131"/>
      <c r="I161" s="47">
        <f>'[1]1st term 2025'!J162</f>
        <v>0</v>
      </c>
      <c r="J161" s="48"/>
      <c r="K161" s="107"/>
      <c r="L161" s="39">
        <f t="shared" si="3"/>
        <v>0</v>
      </c>
      <c r="M161" s="78"/>
    </row>
    <row r="162" spans="1:37" ht="23.25" customHeight="1" x14ac:dyDescent="0.25">
      <c r="A162" s="43">
        <v>141</v>
      </c>
      <c r="B162" s="129">
        <v>1</v>
      </c>
      <c r="C162" s="163" t="s">
        <v>366</v>
      </c>
      <c r="D162" s="163"/>
      <c r="E162" s="164" t="s">
        <v>111</v>
      </c>
      <c r="F162" s="163" t="s">
        <v>367</v>
      </c>
      <c r="G162" s="165">
        <v>1001865564</v>
      </c>
      <c r="H162" s="165">
        <v>776727575</v>
      </c>
      <c r="I162" s="47">
        <f>'[1]1st term 2025'!J163</f>
        <v>330000</v>
      </c>
      <c r="J162" s="48"/>
      <c r="K162" s="166">
        <f>200000+130000</f>
        <v>330000</v>
      </c>
      <c r="L162" s="39">
        <f t="shared" si="3"/>
        <v>0</v>
      </c>
      <c r="M162" s="167" t="s">
        <v>227</v>
      </c>
      <c r="N162" s="188">
        <v>410000</v>
      </c>
    </row>
    <row r="163" spans="1:37" ht="23.25" customHeight="1" x14ac:dyDescent="0.25">
      <c r="A163" s="43">
        <v>143</v>
      </c>
      <c r="B163" s="129">
        <v>2</v>
      </c>
      <c r="C163" s="104" t="s">
        <v>368</v>
      </c>
      <c r="D163" s="104" t="s">
        <v>369</v>
      </c>
      <c r="E163" s="105" t="s">
        <v>370</v>
      </c>
      <c r="F163" s="163" t="s">
        <v>367</v>
      </c>
      <c r="G163" s="106">
        <v>1002419494</v>
      </c>
      <c r="H163" s="106">
        <v>752246215</v>
      </c>
      <c r="I163" s="47">
        <f>'[1]1st term 2025'!J165</f>
        <v>335000</v>
      </c>
      <c r="J163" s="48"/>
      <c r="K163" s="166">
        <f>335000</f>
        <v>335000</v>
      </c>
      <c r="L163" s="39">
        <f t="shared" si="3"/>
        <v>0</v>
      </c>
      <c r="M163" s="108"/>
    </row>
    <row r="164" spans="1:37" ht="23.25" customHeight="1" x14ac:dyDescent="0.25">
      <c r="A164" s="43">
        <v>144</v>
      </c>
      <c r="B164" s="129">
        <v>3</v>
      </c>
      <c r="C164" s="190" t="s">
        <v>371</v>
      </c>
      <c r="D164" s="190" t="s">
        <v>372</v>
      </c>
      <c r="E164" s="191" t="s">
        <v>93</v>
      </c>
      <c r="F164" s="163" t="s">
        <v>367</v>
      </c>
      <c r="G164" s="192">
        <v>1003547898</v>
      </c>
      <c r="H164" s="192">
        <v>757211677</v>
      </c>
      <c r="I164" s="47">
        <f>'[1]1st term 2025'!J166+5000</f>
        <v>85000</v>
      </c>
      <c r="J164" s="48"/>
      <c r="K164" s="193">
        <f>85000</f>
        <v>85000</v>
      </c>
      <c r="L164" s="39">
        <f t="shared" si="3"/>
        <v>0</v>
      </c>
      <c r="M164" s="98"/>
    </row>
    <row r="165" spans="1:37" ht="23.25" customHeight="1" x14ac:dyDescent="0.25">
      <c r="A165" s="43">
        <v>146</v>
      </c>
      <c r="B165" s="129">
        <v>4</v>
      </c>
      <c r="C165" s="104" t="s">
        <v>373</v>
      </c>
      <c r="D165" s="104"/>
      <c r="E165" s="105" t="s">
        <v>374</v>
      </c>
      <c r="F165" s="163" t="s">
        <v>367</v>
      </c>
      <c r="G165" s="106">
        <v>1003321623</v>
      </c>
      <c r="H165" s="106">
        <v>789426721</v>
      </c>
      <c r="I165" s="47">
        <f>'[1]1st term 2025'!J168</f>
        <v>335000</v>
      </c>
      <c r="J165" s="48"/>
      <c r="K165" s="166">
        <f>100000+235000</f>
        <v>335000</v>
      </c>
      <c r="L165" s="39">
        <f t="shared" si="3"/>
        <v>0</v>
      </c>
      <c r="M165" s="167"/>
    </row>
    <row r="166" spans="1:37" ht="23.25" customHeight="1" x14ac:dyDescent="0.25">
      <c r="A166" s="43">
        <v>147</v>
      </c>
      <c r="B166" s="129">
        <v>5</v>
      </c>
      <c r="C166" s="132" t="s">
        <v>24</v>
      </c>
      <c r="D166" s="132" t="s">
        <v>375</v>
      </c>
      <c r="E166" s="133" t="s">
        <v>376</v>
      </c>
      <c r="F166" s="163" t="s">
        <v>367</v>
      </c>
      <c r="G166" s="134">
        <v>1002433736</v>
      </c>
      <c r="H166" s="134"/>
      <c r="I166" s="47">
        <v>0</v>
      </c>
      <c r="J166" s="48"/>
      <c r="K166" s="135"/>
      <c r="L166" s="39">
        <f t="shared" si="3"/>
        <v>0</v>
      </c>
      <c r="M166" s="59"/>
    </row>
    <row r="167" spans="1:37" ht="23.25" customHeight="1" x14ac:dyDescent="0.25">
      <c r="A167" s="43">
        <v>148</v>
      </c>
      <c r="B167" s="129">
        <v>6</v>
      </c>
      <c r="C167" s="137" t="s">
        <v>377</v>
      </c>
      <c r="D167" s="137"/>
      <c r="E167" s="138" t="s">
        <v>378</v>
      </c>
      <c r="F167" s="163" t="s">
        <v>367</v>
      </c>
      <c r="G167" s="139">
        <v>1003547899</v>
      </c>
      <c r="H167" s="139"/>
      <c r="I167" s="47">
        <v>0</v>
      </c>
      <c r="J167" s="48"/>
      <c r="K167" s="140"/>
      <c r="L167" s="39">
        <f t="shared" si="3"/>
        <v>0</v>
      </c>
      <c r="M167" s="141"/>
    </row>
    <row r="168" spans="1:37" ht="23.25" customHeight="1" x14ac:dyDescent="0.25">
      <c r="A168" s="43">
        <v>149</v>
      </c>
      <c r="B168" s="129">
        <v>7</v>
      </c>
      <c r="C168" s="183" t="s">
        <v>379</v>
      </c>
      <c r="D168" s="183" t="s">
        <v>380</v>
      </c>
      <c r="E168" s="184" t="s">
        <v>381</v>
      </c>
      <c r="F168" s="163" t="s">
        <v>367</v>
      </c>
      <c r="G168" s="185">
        <v>1003547889</v>
      </c>
      <c r="H168" s="185">
        <v>779523726</v>
      </c>
      <c r="I168" s="47">
        <f>67000</f>
        <v>67000</v>
      </c>
      <c r="J168" s="48"/>
      <c r="K168" s="186">
        <f>67000</f>
        <v>67000</v>
      </c>
      <c r="L168" s="39">
        <f t="shared" si="3"/>
        <v>0</v>
      </c>
      <c r="M168" s="187" t="s">
        <v>295</v>
      </c>
    </row>
    <row r="169" spans="1:37" ht="23.25" customHeight="1" x14ac:dyDescent="0.25">
      <c r="A169" s="43">
        <v>150</v>
      </c>
      <c r="B169" s="129">
        <v>8</v>
      </c>
      <c r="C169" s="183" t="s">
        <v>382</v>
      </c>
      <c r="D169" s="183"/>
      <c r="E169" s="184" t="s">
        <v>383</v>
      </c>
      <c r="F169" s="163" t="s">
        <v>367</v>
      </c>
      <c r="G169" s="185">
        <v>1003547903</v>
      </c>
      <c r="H169" s="185">
        <v>759611414</v>
      </c>
      <c r="I169" s="47">
        <v>67000</v>
      </c>
      <c r="J169" s="48"/>
      <c r="K169" s="186">
        <f>20000</f>
        <v>20000</v>
      </c>
      <c r="L169" s="39">
        <f t="shared" si="3"/>
        <v>47000</v>
      </c>
      <c r="M169" s="187" t="s">
        <v>295</v>
      </c>
    </row>
    <row r="170" spans="1:37" ht="23.25" customHeight="1" x14ac:dyDescent="0.25">
      <c r="A170" s="43">
        <v>151</v>
      </c>
      <c r="B170" s="129">
        <v>9</v>
      </c>
      <c r="C170" s="104" t="s">
        <v>384</v>
      </c>
      <c r="D170" s="104"/>
      <c r="E170" s="105" t="s">
        <v>297</v>
      </c>
      <c r="F170" s="163" t="s">
        <v>367</v>
      </c>
      <c r="G170" s="106"/>
      <c r="H170" s="106">
        <v>779518339</v>
      </c>
      <c r="I170" s="47">
        <f>300000</f>
        <v>300000</v>
      </c>
      <c r="J170" s="48"/>
      <c r="K170" s="166">
        <f>300000</f>
        <v>300000</v>
      </c>
      <c r="L170" s="39">
        <f t="shared" si="3"/>
        <v>0</v>
      </c>
      <c r="M170" s="167"/>
    </row>
    <row r="171" spans="1:37" s="84" customFormat="1" ht="23.25" customHeight="1" x14ac:dyDescent="0.25">
      <c r="A171" s="43">
        <v>152</v>
      </c>
      <c r="B171" s="129">
        <v>10</v>
      </c>
      <c r="C171" s="183" t="s">
        <v>385</v>
      </c>
      <c r="D171" s="183"/>
      <c r="E171" s="184" t="s">
        <v>386</v>
      </c>
      <c r="F171" s="163" t="s">
        <v>367</v>
      </c>
      <c r="G171" s="185">
        <v>1004024843</v>
      </c>
      <c r="H171" s="185">
        <v>700898394</v>
      </c>
      <c r="I171" s="47">
        <f>41000+67000</f>
        <v>108000</v>
      </c>
      <c r="J171" s="48"/>
      <c r="K171" s="186">
        <f>50000</f>
        <v>50000</v>
      </c>
      <c r="L171" s="39">
        <f t="shared" si="3"/>
        <v>58000</v>
      </c>
      <c r="M171" s="78" t="s">
        <v>295</v>
      </c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</row>
    <row r="172" spans="1:37" ht="23.25" customHeight="1" x14ac:dyDescent="0.25">
      <c r="A172" s="43">
        <v>153</v>
      </c>
      <c r="B172" s="129">
        <v>11</v>
      </c>
      <c r="C172" s="163" t="s">
        <v>374</v>
      </c>
      <c r="D172" s="163" t="s">
        <v>387</v>
      </c>
      <c r="E172" s="164" t="s">
        <v>388</v>
      </c>
      <c r="F172" s="163" t="s">
        <v>367</v>
      </c>
      <c r="G172" s="165">
        <v>1004715192</v>
      </c>
      <c r="H172" s="165">
        <v>704855095</v>
      </c>
      <c r="I172" s="47">
        <f>'[1]1st term 2025'!J175</f>
        <v>630000</v>
      </c>
      <c r="J172" s="48"/>
      <c r="K172" s="166">
        <f>630000</f>
        <v>630000</v>
      </c>
      <c r="L172" s="39">
        <f t="shared" si="3"/>
        <v>0</v>
      </c>
      <c r="M172" s="108" t="s">
        <v>295</v>
      </c>
    </row>
    <row r="173" spans="1:37" s="84" customFormat="1" ht="23.25" customHeight="1" x14ac:dyDescent="0.25">
      <c r="A173" s="43">
        <v>155</v>
      </c>
      <c r="B173" s="129">
        <v>12</v>
      </c>
      <c r="C173" s="183" t="s">
        <v>389</v>
      </c>
      <c r="D173" s="205"/>
      <c r="E173" s="184" t="s">
        <v>390</v>
      </c>
      <c r="F173" s="163" t="s">
        <v>367</v>
      </c>
      <c r="G173" s="185"/>
      <c r="H173" s="185"/>
      <c r="I173" s="47">
        <v>0</v>
      </c>
      <c r="J173" s="48"/>
      <c r="K173" s="186"/>
      <c r="L173" s="39">
        <f t="shared" si="3"/>
        <v>0</v>
      </c>
      <c r="M173" s="187" t="s">
        <v>295</v>
      </c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</row>
    <row r="174" spans="1:37" ht="23.25" customHeight="1" x14ac:dyDescent="0.25">
      <c r="A174" s="43">
        <v>156</v>
      </c>
      <c r="B174" s="129">
        <v>13</v>
      </c>
      <c r="C174" s="65" t="s">
        <v>315</v>
      </c>
      <c r="D174" s="65"/>
      <c r="E174" s="206" t="s">
        <v>391</v>
      </c>
      <c r="F174" s="163" t="s">
        <v>367</v>
      </c>
      <c r="G174" s="59"/>
      <c r="H174" s="59"/>
      <c r="I174" s="47">
        <v>0</v>
      </c>
      <c r="J174" s="48"/>
      <c r="K174" s="59"/>
      <c r="L174" s="39">
        <f t="shared" si="3"/>
        <v>0</v>
      </c>
      <c r="M174" s="67"/>
    </row>
    <row r="175" spans="1:37" ht="23.25" customHeight="1" x14ac:dyDescent="0.25">
      <c r="A175" s="43">
        <v>157</v>
      </c>
      <c r="B175" s="129">
        <v>14</v>
      </c>
      <c r="C175" s="132" t="s">
        <v>392</v>
      </c>
      <c r="D175" s="132"/>
      <c r="E175" s="133" t="s">
        <v>393</v>
      </c>
      <c r="F175" s="163" t="s">
        <v>367</v>
      </c>
      <c r="G175" s="134">
        <v>1007278329</v>
      </c>
      <c r="H175" s="134"/>
      <c r="I175" s="47">
        <v>0</v>
      </c>
      <c r="J175" s="48"/>
      <c r="K175" s="135"/>
      <c r="L175" s="39">
        <f t="shared" si="3"/>
        <v>0</v>
      </c>
      <c r="M175" s="59" t="s">
        <v>295</v>
      </c>
    </row>
    <row r="176" spans="1:37" ht="23.25" customHeight="1" x14ac:dyDescent="0.25">
      <c r="A176" s="43">
        <v>158</v>
      </c>
      <c r="B176" s="129">
        <v>15</v>
      </c>
      <c r="C176" s="132" t="s">
        <v>219</v>
      </c>
      <c r="D176" s="132" t="s">
        <v>394</v>
      </c>
      <c r="E176" s="133" t="s">
        <v>395</v>
      </c>
      <c r="F176" s="163" t="s">
        <v>367</v>
      </c>
      <c r="G176" s="134">
        <v>1007278816</v>
      </c>
      <c r="H176" s="134"/>
      <c r="I176" s="47">
        <v>0</v>
      </c>
      <c r="J176" s="48"/>
      <c r="K176" s="135"/>
      <c r="L176" s="39">
        <f t="shared" si="3"/>
        <v>0</v>
      </c>
      <c r="M176" s="59" t="s">
        <v>295</v>
      </c>
    </row>
    <row r="177" spans="1:37" ht="23.25" customHeight="1" x14ac:dyDescent="0.25">
      <c r="A177" s="43">
        <v>159</v>
      </c>
      <c r="B177" s="129">
        <v>16</v>
      </c>
      <c r="C177" s="132" t="s">
        <v>396</v>
      </c>
      <c r="D177" s="132" t="s">
        <v>397</v>
      </c>
      <c r="E177" s="133" t="s">
        <v>216</v>
      </c>
      <c r="F177" s="163" t="s">
        <v>367</v>
      </c>
      <c r="G177" s="134">
        <v>1007277212</v>
      </c>
      <c r="H177" s="134"/>
      <c r="I177" s="47">
        <v>0</v>
      </c>
      <c r="J177" s="48"/>
      <c r="K177" s="135"/>
      <c r="L177" s="39">
        <f t="shared" si="3"/>
        <v>0</v>
      </c>
      <c r="M177" s="59" t="s">
        <v>295</v>
      </c>
    </row>
    <row r="178" spans="1:37" ht="23.25" customHeight="1" x14ac:dyDescent="0.25">
      <c r="A178" s="43">
        <v>160</v>
      </c>
      <c r="B178" s="129">
        <v>17</v>
      </c>
      <c r="C178" s="183" t="s">
        <v>398</v>
      </c>
      <c r="D178" s="183" t="s">
        <v>399</v>
      </c>
      <c r="E178" s="184" t="s">
        <v>400</v>
      </c>
      <c r="F178" s="163" t="s">
        <v>367</v>
      </c>
      <c r="G178" s="185">
        <v>0</v>
      </c>
      <c r="H178" s="185"/>
      <c r="I178" s="47">
        <v>0</v>
      </c>
      <c r="J178" s="48"/>
      <c r="K178" s="186"/>
      <c r="L178" s="39">
        <f t="shared" si="3"/>
        <v>0</v>
      </c>
      <c r="M178" s="187" t="s">
        <v>295</v>
      </c>
    </row>
    <row r="179" spans="1:37" ht="23.25" customHeight="1" x14ac:dyDescent="0.25">
      <c r="A179" s="43">
        <v>161</v>
      </c>
      <c r="B179" s="129">
        <v>18</v>
      </c>
      <c r="C179" s="137" t="s">
        <v>401</v>
      </c>
      <c r="D179" s="137" t="s">
        <v>44</v>
      </c>
      <c r="E179" s="138" t="s">
        <v>402</v>
      </c>
      <c r="F179" s="163" t="s">
        <v>367</v>
      </c>
      <c r="G179" s="139">
        <v>1003547928</v>
      </c>
      <c r="H179" s="139"/>
      <c r="I179" s="47">
        <v>0</v>
      </c>
      <c r="J179" s="48"/>
      <c r="K179" s="140"/>
      <c r="L179" s="39">
        <f t="shared" si="3"/>
        <v>0</v>
      </c>
      <c r="M179" s="141"/>
    </row>
    <row r="180" spans="1:37" ht="23.25" customHeight="1" x14ac:dyDescent="0.25">
      <c r="A180" s="43">
        <v>162</v>
      </c>
      <c r="B180" s="129">
        <v>19</v>
      </c>
      <c r="C180" s="183" t="s">
        <v>403</v>
      </c>
      <c r="D180" s="183" t="s">
        <v>404</v>
      </c>
      <c r="E180" s="184" t="s">
        <v>157</v>
      </c>
      <c r="F180" s="163" t="s">
        <v>367</v>
      </c>
      <c r="G180" s="185">
        <v>1003547943</v>
      </c>
      <c r="H180" s="185"/>
      <c r="I180" s="47">
        <v>67000</v>
      </c>
      <c r="J180" s="48"/>
      <c r="K180" s="207"/>
      <c r="L180" s="39">
        <f t="shared" si="3"/>
        <v>67000</v>
      </c>
      <c r="M180" s="187" t="s">
        <v>295</v>
      </c>
    </row>
    <row r="181" spans="1:37" s="77" customFormat="1" ht="23.25" customHeight="1" x14ac:dyDescent="0.25">
      <c r="A181" s="98">
        <v>163</v>
      </c>
      <c r="B181" s="129">
        <v>20</v>
      </c>
      <c r="C181" s="190" t="s">
        <v>405</v>
      </c>
      <c r="D181" s="194" t="s">
        <v>406</v>
      </c>
      <c r="E181" s="191" t="s">
        <v>139</v>
      </c>
      <c r="F181" s="163" t="s">
        <v>367</v>
      </c>
      <c r="G181" s="192">
        <v>1006963789</v>
      </c>
      <c r="H181" s="192"/>
      <c r="I181" s="47">
        <f>'[1]1st term 2025'!J185</f>
        <v>85000</v>
      </c>
      <c r="J181" s="48"/>
      <c r="K181" s="193">
        <f>85000</f>
        <v>85000</v>
      </c>
      <c r="L181" s="39">
        <f t="shared" si="3"/>
        <v>0</v>
      </c>
      <c r="M181" s="98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</row>
    <row r="182" spans="1:37" ht="23.25" customHeight="1" x14ac:dyDescent="0.25">
      <c r="A182" s="43">
        <v>165</v>
      </c>
      <c r="B182" s="129">
        <v>21</v>
      </c>
      <c r="C182" s="129" t="s">
        <v>407</v>
      </c>
      <c r="D182" s="201" t="s">
        <v>374</v>
      </c>
      <c r="E182" s="130" t="s">
        <v>342</v>
      </c>
      <c r="F182" s="163" t="s">
        <v>367</v>
      </c>
      <c r="G182" s="131">
        <v>1008730744</v>
      </c>
      <c r="H182" s="131"/>
      <c r="I182" s="47">
        <f>'[1]1st term 2025'!J187</f>
        <v>300000</v>
      </c>
      <c r="J182" s="48"/>
      <c r="K182" s="107">
        <f>300000</f>
        <v>300000</v>
      </c>
      <c r="L182" s="39">
        <f t="shared" si="3"/>
        <v>0</v>
      </c>
      <c r="M182" s="78" t="s">
        <v>43</v>
      </c>
      <c r="N182" s="71"/>
    </row>
    <row r="183" spans="1:37" ht="23.25" customHeight="1" x14ac:dyDescent="0.25">
      <c r="A183" s="43">
        <v>168</v>
      </c>
      <c r="B183" s="129">
        <v>22</v>
      </c>
      <c r="C183" s="155" t="s">
        <v>408</v>
      </c>
      <c r="D183" s="155"/>
      <c r="E183" s="156" t="s">
        <v>409</v>
      </c>
      <c r="F183" s="163" t="s">
        <v>367</v>
      </c>
      <c r="G183" s="157"/>
      <c r="H183" s="157"/>
      <c r="I183" s="47">
        <f>'[1]1st term 2025'!J189</f>
        <v>500000</v>
      </c>
      <c r="J183" s="48"/>
      <c r="K183" s="158">
        <f>500000</f>
        <v>500000</v>
      </c>
      <c r="L183" s="39">
        <f t="shared" si="3"/>
        <v>0</v>
      </c>
      <c r="M183" s="160" t="s">
        <v>190</v>
      </c>
      <c r="N183" s="154"/>
    </row>
    <row r="184" spans="1:37" ht="23.25" customHeight="1" x14ac:dyDescent="0.25">
      <c r="A184" s="43"/>
      <c r="B184" s="129">
        <v>23</v>
      </c>
      <c r="C184" s="129" t="s">
        <v>410</v>
      </c>
      <c r="D184" s="201" t="s">
        <v>37</v>
      </c>
      <c r="E184" s="130"/>
      <c r="F184" s="163" t="s">
        <v>367</v>
      </c>
      <c r="G184" s="131"/>
      <c r="H184" s="131"/>
      <c r="I184" s="47">
        <f>630000</f>
        <v>630000</v>
      </c>
      <c r="J184" s="48"/>
      <c r="K184" s="107">
        <f>630000+670000</f>
        <v>1300000</v>
      </c>
      <c r="L184" s="39">
        <f t="shared" si="3"/>
        <v>-670000</v>
      </c>
      <c r="M184" s="78"/>
      <c r="N184" s="71"/>
    </row>
    <row r="185" spans="1:37" ht="23.25" customHeight="1" x14ac:dyDescent="0.25">
      <c r="A185" s="43"/>
      <c r="B185" s="129">
        <v>24</v>
      </c>
      <c r="C185" s="129" t="s">
        <v>411</v>
      </c>
      <c r="D185" s="201" t="s">
        <v>412</v>
      </c>
      <c r="E185" s="130"/>
      <c r="F185" s="163" t="s">
        <v>367</v>
      </c>
      <c r="G185" s="131"/>
      <c r="H185" s="131"/>
      <c r="I185" s="47">
        <f>280000</f>
        <v>280000</v>
      </c>
      <c r="J185" s="48"/>
      <c r="K185" s="107">
        <f>100000+180000</f>
        <v>280000</v>
      </c>
      <c r="L185" s="39">
        <f t="shared" si="3"/>
        <v>0</v>
      </c>
      <c r="M185" s="223" t="s">
        <v>528</v>
      </c>
      <c r="N185" s="71"/>
    </row>
    <row r="186" spans="1:37" ht="23.25" customHeight="1" x14ac:dyDescent="0.25">
      <c r="A186" s="43"/>
      <c r="B186" s="129"/>
      <c r="C186" s="129"/>
      <c r="D186" s="201"/>
      <c r="E186" s="130"/>
      <c r="F186" s="165"/>
      <c r="G186" s="131"/>
      <c r="H186" s="131"/>
      <c r="I186" s="47">
        <f>'[1]1st term 2025'!J194</f>
        <v>0</v>
      </c>
      <c r="J186" s="48"/>
      <c r="K186" s="107"/>
      <c r="L186" s="39">
        <f t="shared" si="3"/>
        <v>0</v>
      </c>
      <c r="M186" s="78"/>
      <c r="N186" s="71"/>
    </row>
    <row r="187" spans="1:37" ht="23.25" customHeight="1" x14ac:dyDescent="0.35">
      <c r="A187" s="43"/>
      <c r="B187" s="129"/>
      <c r="C187" s="104"/>
      <c r="D187" s="104" t="s">
        <v>413</v>
      </c>
      <c r="E187" s="208"/>
      <c r="F187" s="106"/>
      <c r="G187" s="106"/>
      <c r="H187" s="106"/>
      <c r="I187" s="47">
        <f>'[1]1st term 2025'!J195</f>
        <v>0</v>
      </c>
      <c r="J187" s="48"/>
      <c r="K187" s="166"/>
      <c r="L187" s="39">
        <f t="shared" ref="L187:L238" si="4">I187+J187-K187</f>
        <v>0</v>
      </c>
      <c r="M187" s="167"/>
    </row>
    <row r="188" spans="1:37" ht="23.25" customHeight="1" x14ac:dyDescent="0.25">
      <c r="A188" s="43">
        <v>172</v>
      </c>
      <c r="B188" s="129">
        <v>1</v>
      </c>
      <c r="C188" s="190" t="s">
        <v>258</v>
      </c>
      <c r="D188" s="190"/>
      <c r="E188" s="191" t="s">
        <v>414</v>
      </c>
      <c r="F188" s="104" t="s">
        <v>415</v>
      </c>
      <c r="G188" s="192">
        <v>1003939786</v>
      </c>
      <c r="H188" s="192">
        <v>705362439</v>
      </c>
      <c r="I188" s="47">
        <f>85000</f>
        <v>85000</v>
      </c>
      <c r="J188" s="48"/>
      <c r="K188" s="193">
        <f>85000</f>
        <v>85000</v>
      </c>
      <c r="L188" s="39">
        <f t="shared" si="4"/>
        <v>0</v>
      </c>
      <c r="M188" s="98"/>
    </row>
    <row r="189" spans="1:37" ht="23.25" customHeight="1" x14ac:dyDescent="0.25">
      <c r="A189" s="43">
        <v>177</v>
      </c>
      <c r="B189" s="129">
        <v>2</v>
      </c>
      <c r="C189" s="137" t="s">
        <v>416</v>
      </c>
      <c r="D189" s="137"/>
      <c r="E189" s="138" t="s">
        <v>417</v>
      </c>
      <c r="F189" s="104" t="s">
        <v>415</v>
      </c>
      <c r="G189" s="139">
        <v>1003547922</v>
      </c>
      <c r="H189" s="139"/>
      <c r="I189" s="47">
        <v>0</v>
      </c>
      <c r="J189" s="48"/>
      <c r="K189" s="140"/>
      <c r="L189" s="39">
        <f t="shared" si="4"/>
        <v>0</v>
      </c>
      <c r="M189" s="141"/>
    </row>
    <row r="190" spans="1:37" ht="23.25" customHeight="1" x14ac:dyDescent="0.25">
      <c r="A190" s="43">
        <v>178</v>
      </c>
      <c r="B190" s="129">
        <v>3</v>
      </c>
      <c r="C190" s="132" t="s">
        <v>93</v>
      </c>
      <c r="D190" s="132"/>
      <c r="E190" s="133" t="s">
        <v>418</v>
      </c>
      <c r="F190" s="104" t="s">
        <v>415</v>
      </c>
      <c r="G190" s="134">
        <v>1002543108</v>
      </c>
      <c r="H190" s="134">
        <v>752674473</v>
      </c>
      <c r="I190" s="47">
        <v>100000</v>
      </c>
      <c r="J190" s="48"/>
      <c r="K190" s="135">
        <f>100000</f>
        <v>100000</v>
      </c>
      <c r="L190" s="39">
        <f t="shared" si="4"/>
        <v>0</v>
      </c>
      <c r="M190" s="59"/>
    </row>
    <row r="191" spans="1:37" ht="23.25" customHeight="1" x14ac:dyDescent="0.25">
      <c r="A191" s="43">
        <v>179</v>
      </c>
      <c r="B191" s="129">
        <v>4</v>
      </c>
      <c r="C191" s="104" t="s">
        <v>419</v>
      </c>
      <c r="D191" s="104"/>
      <c r="E191" s="105" t="s">
        <v>420</v>
      </c>
      <c r="F191" s="104" t="s">
        <v>415</v>
      </c>
      <c r="G191" s="106">
        <v>1004004316</v>
      </c>
      <c r="H191" s="106">
        <v>772924737</v>
      </c>
      <c r="I191" s="47">
        <f>'[1]1st term 2025'!J204</f>
        <v>335000</v>
      </c>
      <c r="J191" s="48"/>
      <c r="K191" s="166">
        <f>335000</f>
        <v>335000</v>
      </c>
      <c r="L191" s="39">
        <f t="shared" si="4"/>
        <v>0</v>
      </c>
      <c r="M191" s="108"/>
    </row>
    <row r="192" spans="1:37" ht="23.25" customHeight="1" x14ac:dyDescent="0.25">
      <c r="A192" s="43">
        <v>180</v>
      </c>
      <c r="B192" s="129">
        <v>5</v>
      </c>
      <c r="C192" s="163" t="s">
        <v>421</v>
      </c>
      <c r="D192" s="163"/>
      <c r="E192" s="164" t="s">
        <v>422</v>
      </c>
      <c r="F192" s="104" t="s">
        <v>415</v>
      </c>
      <c r="G192" s="165">
        <v>1001865576</v>
      </c>
      <c r="H192" s="165">
        <v>706948165</v>
      </c>
      <c r="I192" s="47">
        <f>350000</f>
        <v>350000</v>
      </c>
      <c r="J192" s="48"/>
      <c r="K192" s="166">
        <f>50000+100000+100000+100000</f>
        <v>350000</v>
      </c>
      <c r="L192" s="39">
        <f t="shared" si="4"/>
        <v>0</v>
      </c>
      <c r="M192" s="167"/>
    </row>
    <row r="193" spans="1:14" ht="23.25" customHeight="1" x14ac:dyDescent="0.25">
      <c r="A193" s="43">
        <v>181</v>
      </c>
      <c r="B193" s="129">
        <v>6</v>
      </c>
      <c r="C193" s="183" t="s">
        <v>158</v>
      </c>
      <c r="D193" s="183" t="s">
        <v>423</v>
      </c>
      <c r="E193" s="184" t="s">
        <v>44</v>
      </c>
      <c r="F193" s="104" t="s">
        <v>415</v>
      </c>
      <c r="G193" s="185">
        <v>1003547927</v>
      </c>
      <c r="H193" s="185"/>
      <c r="I193" s="47">
        <v>0</v>
      </c>
      <c r="J193" s="48"/>
      <c r="K193" s="186"/>
      <c r="L193" s="39">
        <f t="shared" si="4"/>
        <v>0</v>
      </c>
      <c r="M193" s="187"/>
    </row>
    <row r="194" spans="1:14" ht="23.25" customHeight="1" x14ac:dyDescent="0.25">
      <c r="A194" s="43">
        <v>183</v>
      </c>
      <c r="B194" s="129">
        <v>7</v>
      </c>
      <c r="C194" s="209" t="s">
        <v>424</v>
      </c>
      <c r="D194" s="209"/>
      <c r="E194" s="210" t="s">
        <v>425</v>
      </c>
      <c r="F194" s="104" t="s">
        <v>415</v>
      </c>
      <c r="G194" s="211">
        <v>1003547935</v>
      </c>
      <c r="H194" s="211">
        <v>753743543</v>
      </c>
      <c r="I194" s="47">
        <v>67000</v>
      </c>
      <c r="J194" s="48"/>
      <c r="K194" s="212">
        <f>67000</f>
        <v>67000</v>
      </c>
      <c r="L194" s="39">
        <f t="shared" si="4"/>
        <v>0</v>
      </c>
      <c r="M194" s="148" t="s">
        <v>295</v>
      </c>
    </row>
    <row r="195" spans="1:14" ht="23.25" customHeight="1" x14ac:dyDescent="0.25">
      <c r="A195" s="43">
        <v>184</v>
      </c>
      <c r="B195" s="129">
        <v>8</v>
      </c>
      <c r="C195" s="183" t="s">
        <v>206</v>
      </c>
      <c r="D195" s="183"/>
      <c r="E195" s="184" t="s">
        <v>426</v>
      </c>
      <c r="F195" s="104" t="s">
        <v>415</v>
      </c>
      <c r="G195" s="185">
        <v>1003547938</v>
      </c>
      <c r="H195" s="185">
        <v>759611414</v>
      </c>
      <c r="I195" s="47">
        <v>67000</v>
      </c>
      <c r="J195" s="48"/>
      <c r="K195" s="186">
        <f>60000+7000</f>
        <v>67000</v>
      </c>
      <c r="L195" s="39">
        <f t="shared" si="4"/>
        <v>0</v>
      </c>
      <c r="M195" s="187" t="s">
        <v>295</v>
      </c>
    </row>
    <row r="196" spans="1:14" ht="23.25" customHeight="1" x14ac:dyDescent="0.25">
      <c r="A196" s="43">
        <v>185</v>
      </c>
      <c r="B196" s="129">
        <v>9</v>
      </c>
      <c r="C196" s="183" t="s">
        <v>427</v>
      </c>
      <c r="D196" s="183"/>
      <c r="E196" s="184" t="s">
        <v>428</v>
      </c>
      <c r="F196" s="104" t="s">
        <v>415</v>
      </c>
      <c r="G196" s="185">
        <v>1003547933</v>
      </c>
      <c r="H196" s="185">
        <v>757318075</v>
      </c>
      <c r="I196" s="47">
        <v>67000</v>
      </c>
      <c r="J196" s="48"/>
      <c r="K196" s="186">
        <f>30000+20000+17000</f>
        <v>67000</v>
      </c>
      <c r="L196" s="39">
        <f t="shared" si="4"/>
        <v>0</v>
      </c>
      <c r="M196" s="187" t="s">
        <v>295</v>
      </c>
    </row>
    <row r="197" spans="1:14" ht="23.25" customHeight="1" x14ac:dyDescent="0.25">
      <c r="A197" s="43">
        <v>186</v>
      </c>
      <c r="B197" s="129">
        <v>10</v>
      </c>
      <c r="C197" s="129" t="s">
        <v>429</v>
      </c>
      <c r="D197" s="129"/>
      <c r="E197" s="130" t="s">
        <v>303</v>
      </c>
      <c r="F197" s="104" t="s">
        <v>415</v>
      </c>
      <c r="G197" s="131">
        <v>1003285813</v>
      </c>
      <c r="H197" s="131">
        <v>751424326</v>
      </c>
      <c r="I197" s="47">
        <f>'[1]1st term 2025'!J211</f>
        <v>335000</v>
      </c>
      <c r="J197" s="48"/>
      <c r="K197" s="107">
        <f>270000+24000+20000+18000</f>
        <v>332000</v>
      </c>
      <c r="L197" s="39">
        <f t="shared" si="4"/>
        <v>3000</v>
      </c>
      <c r="M197" s="78"/>
    </row>
    <row r="198" spans="1:14" ht="23.25" customHeight="1" x14ac:dyDescent="0.25">
      <c r="A198" s="43">
        <v>187</v>
      </c>
      <c r="B198" s="129">
        <v>11</v>
      </c>
      <c r="C198" s="129" t="s">
        <v>430</v>
      </c>
      <c r="D198" s="129"/>
      <c r="E198" s="130" t="s">
        <v>431</v>
      </c>
      <c r="F198" s="104" t="s">
        <v>415</v>
      </c>
      <c r="G198" s="131">
        <v>1005475267</v>
      </c>
      <c r="H198" s="131">
        <v>706981286</v>
      </c>
      <c r="I198" s="47">
        <f>'[1]1st term 2025'!J212</f>
        <v>500000</v>
      </c>
      <c r="J198" s="48"/>
      <c r="K198" s="107">
        <f>200000+100000+200000</f>
        <v>500000</v>
      </c>
      <c r="L198" s="39">
        <f t="shared" si="4"/>
        <v>0</v>
      </c>
      <c r="M198" s="78" t="s">
        <v>295</v>
      </c>
    </row>
    <row r="199" spans="1:14" ht="23.25" customHeight="1" x14ac:dyDescent="0.25">
      <c r="A199" s="43">
        <v>189</v>
      </c>
      <c r="B199" s="129">
        <v>12</v>
      </c>
      <c r="C199" s="129" t="s">
        <v>432</v>
      </c>
      <c r="D199" s="82"/>
      <c r="E199" s="130" t="s">
        <v>433</v>
      </c>
      <c r="F199" s="104" t="s">
        <v>415</v>
      </c>
      <c r="G199" s="131">
        <v>1007107172</v>
      </c>
      <c r="H199" s="131"/>
      <c r="I199" s="47">
        <f>'[1]1st term 2025'!J214</f>
        <v>335000</v>
      </c>
      <c r="J199" s="48"/>
      <c r="K199" s="107">
        <f>150000+100000+85000</f>
        <v>335000</v>
      </c>
      <c r="L199" s="39">
        <f t="shared" si="4"/>
        <v>0</v>
      </c>
      <c r="M199" s="78"/>
    </row>
    <row r="200" spans="1:14" ht="23.25" customHeight="1" x14ac:dyDescent="0.25">
      <c r="A200" s="43">
        <v>193</v>
      </c>
      <c r="B200" s="129">
        <v>13</v>
      </c>
      <c r="C200" s="129" t="s">
        <v>434</v>
      </c>
      <c r="D200" s="201" t="s">
        <v>435</v>
      </c>
      <c r="E200" s="130" t="s">
        <v>436</v>
      </c>
      <c r="F200" s="104" t="s">
        <v>415</v>
      </c>
      <c r="G200" s="131">
        <v>1008697339</v>
      </c>
      <c r="H200" s="131"/>
      <c r="I200" s="47">
        <f>630000</f>
        <v>630000</v>
      </c>
      <c r="J200" s="48"/>
      <c r="K200" s="107">
        <f>100000+220000+110000+20000+110000+40000+30000</f>
        <v>630000</v>
      </c>
      <c r="L200" s="39">
        <f t="shared" si="4"/>
        <v>0</v>
      </c>
      <c r="M200" s="43"/>
    </row>
    <row r="201" spans="1:14" ht="23.25" customHeight="1" x14ac:dyDescent="0.25">
      <c r="A201" s="43">
        <v>194</v>
      </c>
      <c r="B201" s="129">
        <v>14</v>
      </c>
      <c r="C201" s="190" t="s">
        <v>437</v>
      </c>
      <c r="D201" s="194" t="s">
        <v>438</v>
      </c>
      <c r="E201" s="191"/>
      <c r="F201" s="104" t="s">
        <v>415</v>
      </c>
      <c r="G201" s="192">
        <v>1008448851</v>
      </c>
      <c r="H201" s="192"/>
      <c r="I201" s="47">
        <f>'[1]1st term 2025'!J219</f>
        <v>500000</v>
      </c>
      <c r="J201" s="48"/>
      <c r="K201" s="193">
        <f>300000+200000</f>
        <v>500000</v>
      </c>
      <c r="L201" s="39">
        <f t="shared" si="4"/>
        <v>0</v>
      </c>
      <c r="M201" s="98" t="s">
        <v>295</v>
      </c>
    </row>
    <row r="202" spans="1:14" ht="23.25" customHeight="1" x14ac:dyDescent="0.25">
      <c r="A202" s="43">
        <v>195</v>
      </c>
      <c r="B202" s="129">
        <v>15</v>
      </c>
      <c r="C202" s="129" t="s">
        <v>439</v>
      </c>
      <c r="D202" s="201" t="s">
        <v>440</v>
      </c>
      <c r="E202" s="130"/>
      <c r="F202" s="104" t="s">
        <v>415</v>
      </c>
      <c r="G202" s="131"/>
      <c r="H202" s="131"/>
      <c r="I202" s="47">
        <f>'[1]1st term 2025'!J220</f>
        <v>335000</v>
      </c>
      <c r="J202" s="48"/>
      <c r="K202" s="107">
        <f>230000+105000</f>
        <v>335000</v>
      </c>
      <c r="L202" s="39">
        <f t="shared" si="4"/>
        <v>0</v>
      </c>
      <c r="M202" s="43"/>
    </row>
    <row r="203" spans="1:14" ht="23.25" customHeight="1" x14ac:dyDescent="0.25">
      <c r="A203" s="43">
        <v>197</v>
      </c>
      <c r="B203" s="129">
        <v>16</v>
      </c>
      <c r="C203" s="129" t="s">
        <v>441</v>
      </c>
      <c r="D203" s="201"/>
      <c r="E203" s="130" t="s">
        <v>442</v>
      </c>
      <c r="F203" s="104" t="s">
        <v>415</v>
      </c>
      <c r="G203" s="131">
        <v>1009035686</v>
      </c>
      <c r="H203" s="131"/>
      <c r="I203" s="47">
        <f>400000</f>
        <v>400000</v>
      </c>
      <c r="J203" s="48"/>
      <c r="K203" s="107">
        <f>400000</f>
        <v>400000</v>
      </c>
      <c r="L203" s="39">
        <f t="shared" si="4"/>
        <v>0</v>
      </c>
      <c r="M203" s="43"/>
      <c r="N203" s="109">
        <v>337000</v>
      </c>
    </row>
    <row r="204" spans="1:14" ht="23.25" customHeight="1" x14ac:dyDescent="0.25">
      <c r="A204" s="43">
        <v>199</v>
      </c>
      <c r="B204" s="129">
        <v>17</v>
      </c>
      <c r="C204" s="129" t="s">
        <v>443</v>
      </c>
      <c r="D204" s="201" t="s">
        <v>372</v>
      </c>
      <c r="E204" s="130"/>
      <c r="F204" s="104" t="s">
        <v>415</v>
      </c>
      <c r="G204" s="131">
        <v>1008698626</v>
      </c>
      <c r="H204" s="131"/>
      <c r="I204" s="47">
        <f>630000</f>
        <v>630000</v>
      </c>
      <c r="J204" s="48"/>
      <c r="K204" s="107">
        <f>630000</f>
        <v>630000</v>
      </c>
      <c r="L204" s="39">
        <f t="shared" si="4"/>
        <v>0</v>
      </c>
      <c r="M204" s="43" t="s">
        <v>295</v>
      </c>
    </row>
    <row r="205" spans="1:14" ht="23.25" customHeight="1" x14ac:dyDescent="0.25">
      <c r="A205" s="43"/>
      <c r="B205" s="129">
        <v>18</v>
      </c>
      <c r="C205" s="129" t="s">
        <v>444</v>
      </c>
      <c r="D205" s="201"/>
      <c r="E205" s="130" t="s">
        <v>445</v>
      </c>
      <c r="F205" s="104" t="s">
        <v>415</v>
      </c>
      <c r="G205" s="131"/>
      <c r="H205" s="131"/>
      <c r="I205" s="47">
        <v>500000</v>
      </c>
      <c r="J205" s="48"/>
      <c r="K205" s="107">
        <f>250000+200000+50000</f>
        <v>500000</v>
      </c>
      <c r="L205" s="39">
        <f t="shared" si="4"/>
        <v>0</v>
      </c>
      <c r="M205" s="43" t="s">
        <v>295</v>
      </c>
    </row>
    <row r="206" spans="1:14" ht="23.25" customHeight="1" x14ac:dyDescent="0.25">
      <c r="A206" s="43"/>
      <c r="B206" s="129">
        <v>19</v>
      </c>
      <c r="C206" s="129" t="s">
        <v>446</v>
      </c>
      <c r="D206" s="201" t="s">
        <v>447</v>
      </c>
      <c r="E206" s="130"/>
      <c r="F206" s="104" t="s">
        <v>415</v>
      </c>
      <c r="G206" s="131"/>
      <c r="H206" s="131"/>
      <c r="I206" s="47">
        <v>335000</v>
      </c>
      <c r="J206" s="48"/>
      <c r="K206" s="107">
        <f>135000+100000</f>
        <v>235000</v>
      </c>
      <c r="L206" s="39">
        <f t="shared" si="4"/>
        <v>100000</v>
      </c>
      <c r="M206" s="43"/>
    </row>
    <row r="207" spans="1:14" ht="23.25" customHeight="1" x14ac:dyDescent="0.25">
      <c r="A207" s="43"/>
      <c r="B207" s="129">
        <v>20</v>
      </c>
      <c r="C207" s="129" t="s">
        <v>448</v>
      </c>
      <c r="D207" s="201" t="s">
        <v>449</v>
      </c>
      <c r="E207" s="130"/>
      <c r="F207" s="104" t="s">
        <v>450</v>
      </c>
      <c r="G207" s="131"/>
      <c r="H207" s="131"/>
      <c r="I207" s="47">
        <v>300000</v>
      </c>
      <c r="J207" s="48"/>
      <c r="K207" s="107">
        <f>200000+100000</f>
        <v>300000</v>
      </c>
      <c r="L207" s="39">
        <f t="shared" si="4"/>
        <v>0</v>
      </c>
      <c r="M207" s="43"/>
    </row>
    <row r="208" spans="1:14" ht="23.25" customHeight="1" x14ac:dyDescent="0.25">
      <c r="A208" s="43"/>
      <c r="B208" s="129"/>
      <c r="C208" s="129"/>
      <c r="D208" s="201"/>
      <c r="E208" s="130"/>
      <c r="F208" s="104"/>
      <c r="G208" s="131"/>
      <c r="H208" s="131"/>
      <c r="I208" s="47"/>
      <c r="J208" s="48"/>
      <c r="K208" s="107"/>
      <c r="L208" s="39"/>
      <c r="M208" s="43"/>
    </row>
    <row r="209" spans="1:14" ht="23.25" customHeight="1" x14ac:dyDescent="0.25">
      <c r="A209" s="43"/>
      <c r="B209" s="129"/>
      <c r="C209" s="129"/>
      <c r="D209" s="201"/>
      <c r="E209" s="130"/>
      <c r="F209" s="104"/>
      <c r="G209" s="131"/>
      <c r="H209" s="131"/>
      <c r="I209" s="47"/>
      <c r="J209" s="48"/>
      <c r="K209" s="107"/>
      <c r="L209" s="39"/>
      <c r="M209" s="43"/>
    </row>
    <row r="210" spans="1:14" ht="23.25" customHeight="1" x14ac:dyDescent="0.3">
      <c r="A210" s="43"/>
      <c r="B210" s="129"/>
      <c r="C210" s="104"/>
      <c r="D210" s="213" t="s">
        <v>451</v>
      </c>
      <c r="E210" s="105"/>
      <c r="F210" s="106"/>
      <c r="G210" s="106"/>
      <c r="H210" s="106"/>
      <c r="I210" s="47">
        <f>'[1]1st term 2025'!J228</f>
        <v>0</v>
      </c>
      <c r="J210" s="48"/>
      <c r="K210" s="107"/>
      <c r="L210" s="39">
        <f t="shared" si="4"/>
        <v>0</v>
      </c>
      <c r="M210" s="108"/>
    </row>
    <row r="211" spans="1:14" ht="23.25" customHeight="1" x14ac:dyDescent="0.25">
      <c r="A211" s="43">
        <v>200</v>
      </c>
      <c r="B211" s="129">
        <v>1</v>
      </c>
      <c r="C211" s="163" t="s">
        <v>452</v>
      </c>
      <c r="D211" s="163"/>
      <c r="E211" s="164" t="s">
        <v>453</v>
      </c>
      <c r="F211" s="163" t="s">
        <v>454</v>
      </c>
      <c r="G211" s="165">
        <v>1003291547</v>
      </c>
      <c r="H211" s="165">
        <v>782956628</v>
      </c>
      <c r="I211" s="47">
        <f>'[1]1st term 2025'!J229</f>
        <v>335000</v>
      </c>
      <c r="J211" s="48"/>
      <c r="K211" s="166">
        <f>170000+100000+65000</f>
        <v>335000</v>
      </c>
      <c r="L211" s="39">
        <f t="shared" si="4"/>
        <v>0</v>
      </c>
      <c r="M211" s="78" t="s">
        <v>455</v>
      </c>
    </row>
    <row r="212" spans="1:14" ht="23.25" customHeight="1" x14ac:dyDescent="0.25">
      <c r="A212" s="43">
        <v>201</v>
      </c>
      <c r="B212" s="129">
        <v>2</v>
      </c>
      <c r="C212" s="190" t="s">
        <v>456</v>
      </c>
      <c r="D212" s="190" t="s">
        <v>457</v>
      </c>
      <c r="E212" s="191" t="s">
        <v>388</v>
      </c>
      <c r="F212" s="163" t="s">
        <v>454</v>
      </c>
      <c r="G212" s="192">
        <v>1005379075</v>
      </c>
      <c r="H212" s="192">
        <v>708531444</v>
      </c>
      <c r="I212" s="47">
        <f>'[1]1st term 2025'!J230</f>
        <v>85000</v>
      </c>
      <c r="J212" s="48"/>
      <c r="K212" s="193"/>
      <c r="L212" s="39">
        <f t="shared" si="4"/>
        <v>85000</v>
      </c>
      <c r="M212" s="98"/>
      <c r="N212" s="99">
        <f>L212</f>
        <v>85000</v>
      </c>
    </row>
    <row r="213" spans="1:14" ht="23.25" customHeight="1" x14ac:dyDescent="0.25">
      <c r="A213" s="43">
        <v>202</v>
      </c>
      <c r="B213" s="129">
        <v>3</v>
      </c>
      <c r="C213" s="183" t="s">
        <v>458</v>
      </c>
      <c r="D213" s="183"/>
      <c r="E213" s="214" t="s">
        <v>459</v>
      </c>
      <c r="F213" s="163" t="s">
        <v>454</v>
      </c>
      <c r="G213" s="215">
        <v>1004024811</v>
      </c>
      <c r="H213" s="215">
        <v>700898394</v>
      </c>
      <c r="I213" s="47">
        <v>67000</v>
      </c>
      <c r="J213" s="48"/>
      <c r="K213" s="207">
        <f>67000</f>
        <v>67000</v>
      </c>
      <c r="L213" s="39">
        <f t="shared" si="4"/>
        <v>0</v>
      </c>
      <c r="M213" s="187" t="s">
        <v>295</v>
      </c>
      <c r="N213" s="188">
        <v>31000</v>
      </c>
    </row>
    <row r="214" spans="1:14" ht="23.25" customHeight="1" x14ac:dyDescent="0.25">
      <c r="A214" s="43">
        <v>203</v>
      </c>
      <c r="B214" s="129">
        <v>4</v>
      </c>
      <c r="C214" s="163" t="s">
        <v>368</v>
      </c>
      <c r="D214" s="163" t="s">
        <v>460</v>
      </c>
      <c r="E214" s="164" t="s">
        <v>461</v>
      </c>
      <c r="F214" s="163" t="s">
        <v>454</v>
      </c>
      <c r="G214" s="165">
        <v>1002419485</v>
      </c>
      <c r="H214" s="165">
        <v>752246215</v>
      </c>
      <c r="I214" s="47">
        <v>630000</v>
      </c>
      <c r="J214" s="48"/>
      <c r="K214" s="166">
        <v>630000</v>
      </c>
      <c r="L214" s="39">
        <f t="shared" si="4"/>
        <v>0</v>
      </c>
      <c r="M214" s="167"/>
    </row>
    <row r="215" spans="1:14" ht="23.25" customHeight="1" x14ac:dyDescent="0.25">
      <c r="A215" s="43">
        <v>205</v>
      </c>
      <c r="B215" s="129">
        <v>5</v>
      </c>
      <c r="C215" s="183" t="s">
        <v>462</v>
      </c>
      <c r="D215" s="183" t="s">
        <v>463</v>
      </c>
      <c r="E215" s="214" t="s">
        <v>380</v>
      </c>
      <c r="F215" s="163" t="s">
        <v>454</v>
      </c>
      <c r="G215" s="215">
        <v>1003175525</v>
      </c>
      <c r="H215" s="215">
        <v>755314299</v>
      </c>
      <c r="I215" s="47">
        <v>236000</v>
      </c>
      <c r="J215" s="48"/>
      <c r="K215" s="207">
        <f>200000+36000</f>
        <v>236000</v>
      </c>
      <c r="L215" s="39">
        <f t="shared" si="4"/>
        <v>0</v>
      </c>
      <c r="M215" s="187" t="s">
        <v>295</v>
      </c>
    </row>
    <row r="216" spans="1:14" ht="23.25" customHeight="1" x14ac:dyDescent="0.25">
      <c r="A216" s="43">
        <v>206</v>
      </c>
      <c r="B216" s="129">
        <v>6</v>
      </c>
      <c r="C216" s="163" t="s">
        <v>393</v>
      </c>
      <c r="D216" s="163" t="s">
        <v>464</v>
      </c>
      <c r="E216" s="164" t="s">
        <v>465</v>
      </c>
      <c r="F216" s="163" t="s">
        <v>454</v>
      </c>
      <c r="G216" s="165">
        <v>1001865586</v>
      </c>
      <c r="H216" s="165"/>
      <c r="I216" s="47">
        <f>'[1]1st term 2025'!J235</f>
        <v>335000</v>
      </c>
      <c r="J216" s="48"/>
      <c r="K216" s="166">
        <f>300000+35000</f>
        <v>335000</v>
      </c>
      <c r="L216" s="39">
        <f t="shared" si="4"/>
        <v>0</v>
      </c>
      <c r="M216" s="167"/>
    </row>
    <row r="217" spans="1:14" ht="23.25" customHeight="1" x14ac:dyDescent="0.25">
      <c r="A217" s="43">
        <v>209</v>
      </c>
      <c r="B217" s="129">
        <v>7</v>
      </c>
      <c r="C217" s="163" t="s">
        <v>466</v>
      </c>
      <c r="D217" s="163"/>
      <c r="E217" s="164" t="s">
        <v>467</v>
      </c>
      <c r="F217" s="163" t="s">
        <v>454</v>
      </c>
      <c r="G217" s="165">
        <v>1003547952</v>
      </c>
      <c r="H217" s="165"/>
      <c r="I217" s="47">
        <f>'[1]1st term 2025'!J238</f>
        <v>335000</v>
      </c>
      <c r="J217" s="48"/>
      <c r="K217" s="166">
        <f>100000+100000</f>
        <v>200000</v>
      </c>
      <c r="L217" s="39">
        <f t="shared" si="4"/>
        <v>135000</v>
      </c>
      <c r="M217" s="78" t="s">
        <v>455</v>
      </c>
    </row>
    <row r="218" spans="1:14" ht="23.25" customHeight="1" x14ac:dyDescent="0.25">
      <c r="A218" s="43">
        <v>210</v>
      </c>
      <c r="B218" s="129">
        <v>8</v>
      </c>
      <c r="C218" s="137" t="s">
        <v>31</v>
      </c>
      <c r="D218" s="137"/>
      <c r="E218" s="138" t="s">
        <v>468</v>
      </c>
      <c r="F218" s="163" t="s">
        <v>454</v>
      </c>
      <c r="G218" s="139">
        <v>1003547956</v>
      </c>
      <c r="H218" s="139"/>
      <c r="I218" s="47">
        <v>0</v>
      </c>
      <c r="J218" s="48"/>
      <c r="K218" s="140"/>
      <c r="L218" s="39">
        <f t="shared" si="4"/>
        <v>0</v>
      </c>
      <c r="M218" s="141"/>
    </row>
    <row r="219" spans="1:14" ht="23.25" customHeight="1" x14ac:dyDescent="0.25">
      <c r="A219" s="43">
        <v>211</v>
      </c>
      <c r="B219" s="129">
        <v>9</v>
      </c>
      <c r="C219" s="183" t="s">
        <v>469</v>
      </c>
      <c r="D219" s="183" t="s">
        <v>272</v>
      </c>
      <c r="E219" s="214" t="s">
        <v>470</v>
      </c>
      <c r="F219" s="163" t="s">
        <v>454</v>
      </c>
      <c r="G219" s="215">
        <v>1003547961</v>
      </c>
      <c r="H219" s="215"/>
      <c r="I219" s="47">
        <v>0</v>
      </c>
      <c r="J219" s="48"/>
      <c r="K219" s="207"/>
      <c r="L219" s="39">
        <f t="shared" si="4"/>
        <v>0</v>
      </c>
      <c r="M219" s="216"/>
    </row>
    <row r="220" spans="1:14" ht="23.25" customHeight="1" x14ac:dyDescent="0.25">
      <c r="A220" s="43">
        <v>212</v>
      </c>
      <c r="B220" s="129">
        <v>10</v>
      </c>
      <c r="C220" s="183" t="s">
        <v>471</v>
      </c>
      <c r="D220" s="183" t="s">
        <v>272</v>
      </c>
      <c r="E220" s="214" t="s">
        <v>299</v>
      </c>
      <c r="F220" s="163" t="s">
        <v>454</v>
      </c>
      <c r="G220" s="215">
        <v>1003547964</v>
      </c>
      <c r="H220" s="215"/>
      <c r="I220" s="47">
        <v>0</v>
      </c>
      <c r="J220" s="48"/>
      <c r="K220" s="207"/>
      <c r="L220" s="39">
        <f t="shared" si="4"/>
        <v>0</v>
      </c>
      <c r="M220" s="216"/>
    </row>
    <row r="221" spans="1:14" ht="23.25" customHeight="1" x14ac:dyDescent="0.25">
      <c r="A221" s="43">
        <v>214</v>
      </c>
      <c r="B221" s="129">
        <v>11</v>
      </c>
      <c r="C221" s="137" t="s">
        <v>472</v>
      </c>
      <c r="D221" s="137"/>
      <c r="E221" s="138" t="s">
        <v>473</v>
      </c>
      <c r="F221" s="163" t="s">
        <v>454</v>
      </c>
      <c r="G221" s="139">
        <v>1003547950</v>
      </c>
      <c r="H221" s="139"/>
      <c r="I221" s="47">
        <v>0</v>
      </c>
      <c r="J221" s="48"/>
      <c r="K221" s="140"/>
      <c r="L221" s="39">
        <f t="shared" si="4"/>
        <v>0</v>
      </c>
      <c r="M221" s="141"/>
    </row>
    <row r="222" spans="1:14" ht="23.25" customHeight="1" x14ac:dyDescent="0.25">
      <c r="A222" s="43">
        <v>215</v>
      </c>
      <c r="B222" s="129">
        <v>12</v>
      </c>
      <c r="C222" s="137" t="s">
        <v>474</v>
      </c>
      <c r="D222" s="137"/>
      <c r="E222" s="138" t="s">
        <v>475</v>
      </c>
      <c r="F222" s="163" t="s">
        <v>454</v>
      </c>
      <c r="G222" s="139">
        <v>1003547954</v>
      </c>
      <c r="H222" s="139"/>
      <c r="I222" s="47">
        <v>0</v>
      </c>
      <c r="J222" s="48"/>
      <c r="K222" s="140"/>
      <c r="L222" s="39">
        <f t="shared" si="4"/>
        <v>0</v>
      </c>
      <c r="M222" s="141"/>
    </row>
    <row r="223" spans="1:14" ht="23.25" customHeight="1" x14ac:dyDescent="0.25">
      <c r="A223" s="43">
        <v>216</v>
      </c>
      <c r="B223" s="129">
        <v>13</v>
      </c>
      <c r="C223" s="132" t="s">
        <v>476</v>
      </c>
      <c r="D223" s="132"/>
      <c r="E223" s="133" t="s">
        <v>477</v>
      </c>
      <c r="F223" s="163" t="s">
        <v>454</v>
      </c>
      <c r="G223" s="134">
        <v>1003547980</v>
      </c>
      <c r="H223" s="134">
        <v>756342797</v>
      </c>
      <c r="I223" s="47">
        <f>168000</f>
        <v>168000</v>
      </c>
      <c r="J223" s="48"/>
      <c r="K223" s="135">
        <f>70000</f>
        <v>70000</v>
      </c>
      <c r="L223" s="39">
        <f t="shared" si="4"/>
        <v>98000</v>
      </c>
      <c r="M223" s="59" t="s">
        <v>295</v>
      </c>
    </row>
    <row r="224" spans="1:14" ht="23.25" customHeight="1" x14ac:dyDescent="0.25">
      <c r="A224" s="43">
        <v>217</v>
      </c>
      <c r="B224" s="129">
        <v>14</v>
      </c>
      <c r="C224" s="183" t="s">
        <v>478</v>
      </c>
      <c r="D224" s="183"/>
      <c r="E224" s="184" t="s">
        <v>479</v>
      </c>
      <c r="F224" s="163" t="s">
        <v>454</v>
      </c>
      <c r="G224" s="215">
        <v>1003547957</v>
      </c>
      <c r="H224" s="215">
        <v>754165864</v>
      </c>
      <c r="I224" s="47">
        <v>67000</v>
      </c>
      <c r="J224" s="48"/>
      <c r="K224" s="207">
        <f>67000</f>
        <v>67000</v>
      </c>
      <c r="L224" s="39">
        <f t="shared" si="4"/>
        <v>0</v>
      </c>
      <c r="M224" s="187" t="s">
        <v>295</v>
      </c>
    </row>
    <row r="225" spans="1:14" ht="23.25" customHeight="1" x14ac:dyDescent="0.25">
      <c r="A225" s="43">
        <v>218</v>
      </c>
      <c r="B225" s="129">
        <v>15</v>
      </c>
      <c r="C225" s="104" t="s">
        <v>123</v>
      </c>
      <c r="D225" s="104"/>
      <c r="E225" s="105" t="s">
        <v>153</v>
      </c>
      <c r="F225" s="163" t="s">
        <v>454</v>
      </c>
      <c r="G225" s="106">
        <v>1003547953</v>
      </c>
      <c r="H225" s="106">
        <v>704234684</v>
      </c>
      <c r="I225" s="47">
        <f>'[1]1st term 2025'!J247</f>
        <v>500000</v>
      </c>
      <c r="J225" s="48"/>
      <c r="K225" s="166">
        <f>200000+150000+150000</f>
        <v>500000</v>
      </c>
      <c r="L225" s="39">
        <f t="shared" si="4"/>
        <v>0</v>
      </c>
      <c r="M225" s="108" t="s">
        <v>480</v>
      </c>
    </row>
    <row r="226" spans="1:14" ht="23.25" customHeight="1" x14ac:dyDescent="0.25">
      <c r="A226" s="43">
        <v>219</v>
      </c>
      <c r="B226" s="129">
        <v>16</v>
      </c>
      <c r="C226" s="183" t="s">
        <v>481</v>
      </c>
      <c r="D226" s="183"/>
      <c r="E226" s="184" t="s">
        <v>482</v>
      </c>
      <c r="F226" s="163" t="s">
        <v>454</v>
      </c>
      <c r="G226" s="215">
        <v>1003547965</v>
      </c>
      <c r="H226" s="215"/>
      <c r="I226" s="47">
        <v>0</v>
      </c>
      <c r="J226" s="48"/>
      <c r="K226" s="207"/>
      <c r="L226" s="39">
        <f t="shared" si="4"/>
        <v>0</v>
      </c>
      <c r="M226" s="216"/>
    </row>
    <row r="227" spans="1:14" ht="23.25" customHeight="1" x14ac:dyDescent="0.25">
      <c r="A227" s="43">
        <v>220</v>
      </c>
      <c r="B227" s="129">
        <v>17</v>
      </c>
      <c r="C227" s="163" t="s">
        <v>483</v>
      </c>
      <c r="D227" s="163" t="s">
        <v>484</v>
      </c>
      <c r="E227" s="164" t="s">
        <v>485</v>
      </c>
      <c r="F227" s="163" t="s">
        <v>454</v>
      </c>
      <c r="G227" s="165">
        <v>1005517049</v>
      </c>
      <c r="H227" s="165">
        <v>704715330</v>
      </c>
      <c r="I227" s="47">
        <f>'[1]1st term 2025'!J249</f>
        <v>630000</v>
      </c>
      <c r="J227" s="48"/>
      <c r="K227" s="166">
        <f>200000+430000</f>
        <v>630000</v>
      </c>
      <c r="L227" s="39">
        <f t="shared" si="4"/>
        <v>0</v>
      </c>
      <c r="M227" s="108"/>
    </row>
    <row r="228" spans="1:14" ht="23.25" customHeight="1" x14ac:dyDescent="0.25">
      <c r="A228" s="43">
        <v>221</v>
      </c>
      <c r="B228" s="129">
        <v>18</v>
      </c>
      <c r="C228" s="163" t="s">
        <v>486</v>
      </c>
      <c r="D228" s="163" t="s">
        <v>487</v>
      </c>
      <c r="E228" s="164" t="s">
        <v>488</v>
      </c>
      <c r="F228" s="163" t="s">
        <v>454</v>
      </c>
      <c r="G228" s="165">
        <v>1006894127</v>
      </c>
      <c r="H228" s="165"/>
      <c r="I228" s="47">
        <f>'[1]1st term 2025'!J250</f>
        <v>335000</v>
      </c>
      <c r="J228" s="48"/>
      <c r="K228" s="166">
        <f>130000+150000+55000</f>
        <v>335000</v>
      </c>
      <c r="L228" s="39">
        <f t="shared" si="4"/>
        <v>0</v>
      </c>
      <c r="M228" s="108"/>
    </row>
    <row r="229" spans="1:14" ht="23.25" customHeight="1" x14ac:dyDescent="0.25">
      <c r="A229" s="43">
        <v>223</v>
      </c>
      <c r="B229" s="129">
        <v>19</v>
      </c>
      <c r="C229" s="129" t="s">
        <v>489</v>
      </c>
      <c r="D229" s="129"/>
      <c r="E229" s="130" t="s">
        <v>490</v>
      </c>
      <c r="F229" s="163" t="s">
        <v>454</v>
      </c>
      <c r="G229" s="131">
        <v>1007105160</v>
      </c>
      <c r="H229" s="131"/>
      <c r="I229" s="47">
        <f>530000</f>
        <v>530000</v>
      </c>
      <c r="J229" s="48"/>
      <c r="K229" s="107">
        <f>150000+200000+180000</f>
        <v>530000</v>
      </c>
      <c r="L229" s="39">
        <f t="shared" si="4"/>
        <v>0</v>
      </c>
      <c r="M229" s="78"/>
    </row>
    <row r="230" spans="1:14" ht="23.25" customHeight="1" x14ac:dyDescent="0.25">
      <c r="A230" s="43">
        <v>224</v>
      </c>
      <c r="B230" s="129">
        <v>20</v>
      </c>
      <c r="C230" s="163" t="s">
        <v>491</v>
      </c>
      <c r="D230" s="163" t="s">
        <v>492</v>
      </c>
      <c r="E230" s="164" t="s">
        <v>493</v>
      </c>
      <c r="F230" s="163" t="s">
        <v>454</v>
      </c>
      <c r="G230" s="165">
        <v>1007940053</v>
      </c>
      <c r="H230" s="165"/>
      <c r="I230" s="47">
        <f>630000</f>
        <v>630000</v>
      </c>
      <c r="J230" s="48"/>
      <c r="K230" s="166">
        <f>630000</f>
        <v>630000</v>
      </c>
      <c r="L230" s="39">
        <f t="shared" si="4"/>
        <v>0</v>
      </c>
      <c r="M230" s="108"/>
    </row>
    <row r="231" spans="1:14" s="219" customFormat="1" ht="23.25" customHeight="1" x14ac:dyDescent="0.25">
      <c r="A231" s="187">
        <v>225</v>
      </c>
      <c r="B231" s="129">
        <v>21</v>
      </c>
      <c r="C231" s="183" t="s">
        <v>494</v>
      </c>
      <c r="D231" s="205"/>
      <c r="E231" s="184" t="s">
        <v>495</v>
      </c>
      <c r="F231" s="183" t="s">
        <v>454</v>
      </c>
      <c r="G231" s="185">
        <v>1007093281</v>
      </c>
      <c r="H231" s="185"/>
      <c r="I231" s="217">
        <v>0</v>
      </c>
      <c r="J231" s="217"/>
      <c r="K231" s="186"/>
      <c r="L231" s="218">
        <f t="shared" si="4"/>
        <v>0</v>
      </c>
      <c r="M231" s="187" t="s">
        <v>295</v>
      </c>
    </row>
    <row r="232" spans="1:14" ht="23.25" customHeight="1" x14ac:dyDescent="0.25">
      <c r="A232" s="43">
        <v>226</v>
      </c>
      <c r="B232" s="129">
        <v>22</v>
      </c>
      <c r="C232" s="82" t="s">
        <v>496</v>
      </c>
      <c r="D232" s="82" t="s">
        <v>497</v>
      </c>
      <c r="E232" s="83"/>
      <c r="F232" s="163" t="s">
        <v>454</v>
      </c>
      <c r="G232" s="84">
        <v>1008474726</v>
      </c>
      <c r="H232" s="84"/>
      <c r="I232" s="47">
        <f>'[1]1st term 2025'!J255</f>
        <v>500000</v>
      </c>
      <c r="J232" s="48"/>
      <c r="K232" s="78">
        <f>60000+139000+80000+100000</f>
        <v>379000</v>
      </c>
      <c r="L232" s="39">
        <f t="shared" si="4"/>
        <v>121000</v>
      </c>
      <c r="M232" s="78"/>
      <c r="N232" s="109">
        <v>67000</v>
      </c>
    </row>
    <row r="233" spans="1:14" ht="23.25" customHeight="1" x14ac:dyDescent="0.25">
      <c r="A233" s="43">
        <v>227</v>
      </c>
      <c r="B233" s="129">
        <v>23</v>
      </c>
      <c r="C233" s="82" t="s">
        <v>157</v>
      </c>
      <c r="D233" s="82" t="s">
        <v>139</v>
      </c>
      <c r="E233" s="83" t="s">
        <v>498</v>
      </c>
      <c r="F233" s="163" t="s">
        <v>454</v>
      </c>
      <c r="G233" s="84">
        <v>1008817341</v>
      </c>
      <c r="H233" s="84"/>
      <c r="I233" s="47">
        <f>'[1]1st term 2025'!J256</f>
        <v>500000</v>
      </c>
      <c r="J233" s="48"/>
      <c r="K233" s="78">
        <f>250000+200000</f>
        <v>450000</v>
      </c>
      <c r="L233" s="39">
        <f t="shared" si="4"/>
        <v>50000</v>
      </c>
      <c r="M233" s="78"/>
    </row>
    <row r="234" spans="1:14" ht="33.75" customHeight="1" x14ac:dyDescent="0.25">
      <c r="A234" s="43">
        <v>231</v>
      </c>
      <c r="B234" s="129">
        <v>24</v>
      </c>
      <c r="C234" s="129" t="s">
        <v>499</v>
      </c>
      <c r="D234" s="201" t="s">
        <v>500</v>
      </c>
      <c r="E234" s="130" t="s">
        <v>501</v>
      </c>
      <c r="F234" s="163" t="s">
        <v>454</v>
      </c>
      <c r="G234" s="131">
        <v>1008902598</v>
      </c>
      <c r="H234" s="131"/>
      <c r="I234" s="47">
        <f>'[1]1st term 2025'!J260+20000</f>
        <v>450000</v>
      </c>
      <c r="J234" s="48"/>
      <c r="K234" s="107">
        <f>250000+150000+50000</f>
        <v>450000</v>
      </c>
      <c r="L234" s="39">
        <f t="shared" si="4"/>
        <v>0</v>
      </c>
      <c r="M234" s="43"/>
    </row>
    <row r="235" spans="1:14" ht="23.25" customHeight="1" x14ac:dyDescent="0.25">
      <c r="A235" s="43">
        <v>232</v>
      </c>
      <c r="B235" s="129">
        <v>25</v>
      </c>
      <c r="C235" s="129" t="s">
        <v>502</v>
      </c>
      <c r="D235" s="201" t="s">
        <v>503</v>
      </c>
      <c r="E235" s="130"/>
      <c r="F235" s="163" t="s">
        <v>454</v>
      </c>
      <c r="G235" s="131">
        <v>1008971059</v>
      </c>
      <c r="H235" s="131"/>
      <c r="I235" s="47">
        <f>400000</f>
        <v>400000</v>
      </c>
      <c r="J235" s="48"/>
      <c r="K235" s="107">
        <f>400000</f>
        <v>400000</v>
      </c>
      <c r="L235" s="39">
        <f t="shared" si="4"/>
        <v>0</v>
      </c>
      <c r="M235" s="43"/>
      <c r="N235" s="109">
        <v>286000</v>
      </c>
    </row>
    <row r="236" spans="1:14" ht="23.25" customHeight="1" x14ac:dyDescent="0.25">
      <c r="A236" s="43">
        <v>233</v>
      </c>
      <c r="B236" s="129">
        <v>26</v>
      </c>
      <c r="C236" s="129" t="s">
        <v>504</v>
      </c>
      <c r="D236" s="201" t="s">
        <v>505</v>
      </c>
      <c r="E236" s="130"/>
      <c r="F236" s="163" t="s">
        <v>454</v>
      </c>
      <c r="G236" s="131">
        <v>1009121306</v>
      </c>
      <c r="H236" s="131"/>
      <c r="I236" s="47">
        <f>'[1]1st term 2025'!J262</f>
        <v>500000</v>
      </c>
      <c r="J236" s="48"/>
      <c r="K236" s="107">
        <f>200000+150000+150000</f>
        <v>500000</v>
      </c>
      <c r="L236" s="39">
        <f t="shared" si="4"/>
        <v>0</v>
      </c>
      <c r="M236" s="43" t="s">
        <v>295</v>
      </c>
    </row>
    <row r="237" spans="1:14" ht="23.25" customHeight="1" x14ac:dyDescent="0.25">
      <c r="A237" s="43"/>
      <c r="B237" s="129">
        <v>27</v>
      </c>
      <c r="C237" s="129" t="s">
        <v>506</v>
      </c>
      <c r="D237" s="201" t="s">
        <v>507</v>
      </c>
      <c r="E237" s="130"/>
      <c r="F237" s="163" t="s">
        <v>454</v>
      </c>
      <c r="G237" s="131"/>
      <c r="H237" s="131"/>
      <c r="I237" s="47">
        <f>630000</f>
        <v>630000</v>
      </c>
      <c r="J237" s="48"/>
      <c r="K237" s="107">
        <f>200000+135000+155000+60000+80000+100000+200000</f>
        <v>930000</v>
      </c>
      <c r="L237" s="39">
        <f t="shared" si="4"/>
        <v>-300000</v>
      </c>
      <c r="M237" s="43"/>
    </row>
    <row r="238" spans="1:14" ht="23.25" customHeight="1" x14ac:dyDescent="0.25">
      <c r="A238" s="226"/>
      <c r="B238" s="227">
        <v>28</v>
      </c>
      <c r="C238" s="227" t="s">
        <v>508</v>
      </c>
      <c r="D238" s="228" t="s">
        <v>284</v>
      </c>
      <c r="E238" s="229"/>
      <c r="F238" s="230" t="s">
        <v>454</v>
      </c>
      <c r="G238" s="231"/>
      <c r="H238" s="231"/>
      <c r="I238" s="232">
        <v>630000</v>
      </c>
      <c r="J238" s="233"/>
      <c r="K238" s="142">
        <f>300000+300000</f>
        <v>600000</v>
      </c>
      <c r="L238" s="178">
        <f t="shared" si="4"/>
        <v>30000</v>
      </c>
      <c r="M238" s="226"/>
    </row>
    <row r="239" spans="1:14" s="43" customFormat="1" ht="23.25" customHeight="1" x14ac:dyDescent="0.25">
      <c r="B239" s="129">
        <v>29</v>
      </c>
      <c r="C239" s="50" t="s">
        <v>541</v>
      </c>
      <c r="D239" s="50" t="s">
        <v>542</v>
      </c>
      <c r="E239" s="50"/>
      <c r="G239" s="220"/>
      <c r="H239" s="221"/>
      <c r="I239" s="220"/>
      <c r="J239" s="220"/>
      <c r="L239" s="220"/>
    </row>
    <row r="240" spans="1:14" ht="23.25" customHeight="1" x14ac:dyDescent="0.25">
      <c r="B240" s="83"/>
      <c r="G240" s="234" t="s">
        <v>509</v>
      </c>
      <c r="H240" s="235"/>
      <c r="I240" s="234">
        <f>SUM(I3:I239)</f>
        <v>54490000</v>
      </c>
      <c r="J240" s="234">
        <f>SUM(J3:J239)</f>
        <v>0</v>
      </c>
      <c r="K240" s="234">
        <f>SUM(K3:K239)</f>
        <v>52317000</v>
      </c>
      <c r="L240" s="234">
        <f>SUM(L3:L239)</f>
        <v>2173000</v>
      </c>
      <c r="M240" s="31"/>
    </row>
    <row r="242" spans="3:10" ht="23.25" customHeight="1" x14ac:dyDescent="0.25">
      <c r="C242" s="41" t="s">
        <v>573</v>
      </c>
      <c r="J242" s="222"/>
    </row>
    <row r="243" spans="3:10" ht="23.25" customHeight="1" x14ac:dyDescent="0.25"/>
  </sheetData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CEC4-289F-4EF3-A7CE-383E70907E4D}">
  <dimension ref="A1:K30"/>
  <sheetViews>
    <sheetView workbookViewId="0">
      <selection activeCell="A28" sqref="A28"/>
    </sheetView>
  </sheetViews>
  <sheetFormatPr defaultRowHeight="15.75" x14ac:dyDescent="0.25"/>
  <cols>
    <col min="1" max="1" width="25.375" style="236" customWidth="1"/>
    <col min="2" max="2" width="30.5" style="237" bestFit="1" customWidth="1"/>
    <col min="3" max="3" width="9.875" style="236" bestFit="1" customWidth="1"/>
    <col min="4" max="4" width="33.5" style="237" bestFit="1" customWidth="1"/>
    <col min="5" max="8" width="9" style="236"/>
    <col min="9" max="10" width="13.75" style="236" bestFit="1" customWidth="1"/>
    <col min="11" max="11" width="11.125" style="236" bestFit="1" customWidth="1"/>
    <col min="12" max="16384" width="9" style="236"/>
  </cols>
  <sheetData>
    <row r="1" spans="1:11" x14ac:dyDescent="0.25">
      <c r="A1" s="236" t="s">
        <v>543</v>
      </c>
    </row>
    <row r="2" spans="1:11" x14ac:dyDescent="0.25">
      <c r="A2" s="236" t="s">
        <v>544</v>
      </c>
      <c r="B2" s="237" t="s">
        <v>545</v>
      </c>
      <c r="C2" s="236" t="s">
        <v>547</v>
      </c>
      <c r="D2" s="237" t="s">
        <v>529</v>
      </c>
      <c r="H2" s="236" t="s">
        <v>560</v>
      </c>
      <c r="I2" s="236" t="s">
        <v>232</v>
      </c>
      <c r="J2" s="236" t="s">
        <v>561</v>
      </c>
    </row>
    <row r="3" spans="1:11" x14ac:dyDescent="0.25">
      <c r="A3" s="236" t="s">
        <v>546</v>
      </c>
      <c r="B3" s="237">
        <v>3200000</v>
      </c>
      <c r="C3" s="236">
        <v>3</v>
      </c>
      <c r="D3" s="237">
        <f>B3*C3</f>
        <v>9600000</v>
      </c>
      <c r="I3" s="237">
        <v>20000000</v>
      </c>
      <c r="J3" s="237">
        <v>45000000</v>
      </c>
      <c r="K3" s="238">
        <f>SUM(I3:J3)</f>
        <v>65000000</v>
      </c>
    </row>
    <row r="4" spans="1:11" x14ac:dyDescent="0.25">
      <c r="A4" s="236" t="s">
        <v>548</v>
      </c>
      <c r="B4" s="237">
        <v>500000</v>
      </c>
      <c r="C4" s="236">
        <v>3</v>
      </c>
      <c r="D4" s="237">
        <f t="shared" ref="D4:D29" si="0">B4*C4</f>
        <v>1500000</v>
      </c>
    </row>
    <row r="5" spans="1:11" x14ac:dyDescent="0.25">
      <c r="A5" s="236" t="s">
        <v>549</v>
      </c>
      <c r="B5" s="237">
        <v>120000</v>
      </c>
      <c r="C5" s="236">
        <v>3</v>
      </c>
      <c r="D5" s="237">
        <f t="shared" si="0"/>
        <v>360000</v>
      </c>
    </row>
    <row r="6" spans="1:11" x14ac:dyDescent="0.25">
      <c r="A6" s="236" t="s">
        <v>550</v>
      </c>
      <c r="B6" s="237">
        <v>60000</v>
      </c>
      <c r="C6" s="236">
        <v>3</v>
      </c>
      <c r="D6" s="237">
        <f t="shared" si="0"/>
        <v>180000</v>
      </c>
    </row>
    <row r="7" spans="1:11" x14ac:dyDescent="0.25">
      <c r="A7" s="236" t="s">
        <v>551</v>
      </c>
      <c r="B7" s="237">
        <v>460000</v>
      </c>
      <c r="C7" s="236">
        <v>3</v>
      </c>
      <c r="D7" s="237">
        <f t="shared" si="0"/>
        <v>1380000</v>
      </c>
    </row>
    <row r="8" spans="1:11" x14ac:dyDescent="0.25">
      <c r="A8" s="236" t="s">
        <v>551</v>
      </c>
      <c r="B8" s="237">
        <v>110000</v>
      </c>
      <c r="C8" s="236">
        <v>1</v>
      </c>
      <c r="D8" s="237">
        <f t="shared" si="0"/>
        <v>110000</v>
      </c>
      <c r="H8" s="236" t="s">
        <v>562</v>
      </c>
    </row>
    <row r="9" spans="1:11" x14ac:dyDescent="0.25">
      <c r="A9" s="236" t="s">
        <v>552</v>
      </c>
      <c r="B9" s="237">
        <v>1070000</v>
      </c>
      <c r="C9" s="236">
        <v>3</v>
      </c>
      <c r="D9" s="237">
        <f t="shared" si="0"/>
        <v>3210000</v>
      </c>
    </row>
    <row r="10" spans="1:11" x14ac:dyDescent="0.25">
      <c r="A10" s="236" t="s">
        <v>552</v>
      </c>
      <c r="B10" s="237">
        <v>870000</v>
      </c>
      <c r="C10" s="236">
        <v>1</v>
      </c>
      <c r="D10" s="237">
        <f t="shared" si="0"/>
        <v>870000</v>
      </c>
    </row>
    <row r="11" spans="1:11" x14ac:dyDescent="0.25">
      <c r="A11" s="236" t="s">
        <v>553</v>
      </c>
      <c r="B11" s="237">
        <v>32163500</v>
      </c>
      <c r="C11" s="236">
        <v>1</v>
      </c>
      <c r="D11" s="237">
        <f t="shared" si="0"/>
        <v>32163500</v>
      </c>
    </row>
    <row r="12" spans="1:11" x14ac:dyDescent="0.25">
      <c r="A12" s="236" t="s">
        <v>554</v>
      </c>
      <c r="B12" s="237">
        <v>200000</v>
      </c>
      <c r="C12" s="236">
        <v>3</v>
      </c>
      <c r="D12" s="237">
        <f t="shared" si="0"/>
        <v>600000</v>
      </c>
    </row>
    <row r="13" spans="1:11" x14ac:dyDescent="0.25">
      <c r="A13" s="236" t="s">
        <v>555</v>
      </c>
      <c r="B13" s="237">
        <v>500000</v>
      </c>
      <c r="C13" s="236">
        <v>3</v>
      </c>
      <c r="D13" s="237">
        <f t="shared" si="0"/>
        <v>1500000</v>
      </c>
    </row>
    <row r="14" spans="1:11" x14ac:dyDescent="0.25">
      <c r="A14" s="236" t="s">
        <v>556</v>
      </c>
      <c r="B14" s="237">
        <v>1000000</v>
      </c>
      <c r="C14" s="236">
        <v>1</v>
      </c>
      <c r="D14" s="237">
        <f t="shared" si="0"/>
        <v>1000000</v>
      </c>
    </row>
    <row r="15" spans="1:11" x14ac:dyDescent="0.25">
      <c r="A15" s="236" t="s">
        <v>557</v>
      </c>
      <c r="B15" s="237">
        <v>660000</v>
      </c>
      <c r="C15" s="236">
        <v>1</v>
      </c>
      <c r="D15" s="237">
        <f t="shared" si="0"/>
        <v>660000</v>
      </c>
    </row>
    <row r="16" spans="1:11" x14ac:dyDescent="0.25">
      <c r="A16" s="236" t="s">
        <v>558</v>
      </c>
      <c r="B16" s="237">
        <v>150000</v>
      </c>
      <c r="C16" s="236">
        <v>1</v>
      </c>
      <c r="D16" s="237">
        <f t="shared" si="0"/>
        <v>150000</v>
      </c>
    </row>
    <row r="17" spans="1:4" x14ac:dyDescent="0.25">
      <c r="A17" s="236" t="s">
        <v>559</v>
      </c>
      <c r="B17" s="237">
        <v>801500</v>
      </c>
      <c r="C17" s="236">
        <v>1</v>
      </c>
      <c r="D17" s="237">
        <f t="shared" si="0"/>
        <v>801500</v>
      </c>
    </row>
    <row r="18" spans="1:4" x14ac:dyDescent="0.25">
      <c r="A18" s="236" t="s">
        <v>563</v>
      </c>
      <c r="B18" s="237">
        <v>100000</v>
      </c>
      <c r="C18" s="236">
        <v>3</v>
      </c>
      <c r="D18" s="237">
        <f t="shared" si="0"/>
        <v>300000</v>
      </c>
    </row>
    <row r="19" spans="1:4" x14ac:dyDescent="0.25">
      <c r="A19" s="236" t="s">
        <v>564</v>
      </c>
      <c r="B19" s="237">
        <v>150000</v>
      </c>
      <c r="C19" s="236">
        <v>3</v>
      </c>
      <c r="D19" s="237">
        <f t="shared" si="0"/>
        <v>450000</v>
      </c>
    </row>
    <row r="20" spans="1:4" x14ac:dyDescent="0.25">
      <c r="A20" s="236" t="s">
        <v>565</v>
      </c>
      <c r="B20" s="237">
        <v>50000</v>
      </c>
      <c r="C20" s="236">
        <v>3</v>
      </c>
      <c r="D20" s="237">
        <f t="shared" si="0"/>
        <v>150000</v>
      </c>
    </row>
    <row r="21" spans="1:4" x14ac:dyDescent="0.25">
      <c r="A21" s="236" t="s">
        <v>566</v>
      </c>
      <c r="B21" s="237">
        <v>5130000</v>
      </c>
      <c r="C21" s="236">
        <v>1</v>
      </c>
      <c r="D21" s="237">
        <f t="shared" si="0"/>
        <v>5130000</v>
      </c>
    </row>
    <row r="22" spans="1:4" x14ac:dyDescent="0.25">
      <c r="A22" s="236" t="s">
        <v>567</v>
      </c>
      <c r="B22" s="237">
        <v>1000000</v>
      </c>
      <c r="C22" s="236">
        <v>1</v>
      </c>
      <c r="D22" s="237">
        <f t="shared" si="0"/>
        <v>1000000</v>
      </c>
    </row>
    <row r="23" spans="1:4" x14ac:dyDescent="0.25">
      <c r="A23" s="236" t="s">
        <v>568</v>
      </c>
      <c r="B23" s="237">
        <v>50000</v>
      </c>
      <c r="C23" s="236">
        <v>1</v>
      </c>
      <c r="D23" s="237">
        <f t="shared" si="0"/>
        <v>50000</v>
      </c>
    </row>
    <row r="24" spans="1:4" x14ac:dyDescent="0.25">
      <c r="A24" s="236" t="s">
        <v>569</v>
      </c>
      <c r="B24" s="237">
        <v>1000000</v>
      </c>
      <c r="C24" s="236">
        <v>1</v>
      </c>
      <c r="D24" s="237">
        <f t="shared" si="0"/>
        <v>1000000</v>
      </c>
    </row>
    <row r="25" spans="1:4" x14ac:dyDescent="0.25">
      <c r="A25" s="236" t="s">
        <v>570</v>
      </c>
      <c r="B25" s="237">
        <v>500000</v>
      </c>
      <c r="C25" s="236">
        <v>1</v>
      </c>
      <c r="D25" s="237">
        <f t="shared" si="0"/>
        <v>500000</v>
      </c>
    </row>
    <row r="26" spans="1:4" x14ac:dyDescent="0.25">
      <c r="A26" s="236" t="s">
        <v>571</v>
      </c>
      <c r="B26" s="237">
        <v>2700000</v>
      </c>
      <c r="C26" s="236">
        <v>1</v>
      </c>
      <c r="D26" s="237">
        <f t="shared" si="0"/>
        <v>2700000</v>
      </c>
    </row>
    <row r="27" spans="1:4" x14ac:dyDescent="0.25">
      <c r="A27" s="236" t="s">
        <v>572</v>
      </c>
      <c r="B27" s="237">
        <v>480000</v>
      </c>
      <c r="C27" s="236">
        <v>3</v>
      </c>
      <c r="D27" s="237">
        <f t="shared" si="0"/>
        <v>1440000</v>
      </c>
    </row>
    <row r="28" spans="1:4" x14ac:dyDescent="0.25">
      <c r="D28" s="237">
        <f t="shared" si="0"/>
        <v>0</v>
      </c>
    </row>
    <row r="29" spans="1:4" x14ac:dyDescent="0.25">
      <c r="D29" s="237">
        <f t="shared" si="0"/>
        <v>0</v>
      </c>
    </row>
    <row r="30" spans="1:4" x14ac:dyDescent="0.25">
      <c r="D30" s="237">
        <f>SUM(D3:D29)</f>
        <v>66805000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workbookViewId="0">
      <selection activeCell="N7" sqref="N7"/>
    </sheetView>
  </sheetViews>
  <sheetFormatPr defaultColWidth="9" defaultRowHeight="13.5" x14ac:dyDescent="0.15"/>
  <cols>
    <col min="1" max="1" width="13.625" customWidth="1"/>
    <col min="2" max="2" width="11.75" customWidth="1"/>
    <col min="3" max="3" width="10.625" customWidth="1"/>
    <col min="4" max="4" width="11.875" customWidth="1"/>
    <col min="5" max="5" width="13.625" customWidth="1"/>
    <col min="9" max="9" width="12.75" customWidth="1"/>
  </cols>
  <sheetData>
    <row r="1" spans="1:12" ht="26.25" x14ac:dyDescent="0.4">
      <c r="A1" s="327" t="s">
        <v>510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</row>
    <row r="2" spans="1:12" ht="21" x14ac:dyDescent="0.35">
      <c r="A2" s="328" t="s">
        <v>511</v>
      </c>
      <c r="B2" s="328"/>
      <c r="C2" s="328"/>
      <c r="D2" s="328"/>
      <c r="E2" s="329" t="s">
        <v>512</v>
      </c>
      <c r="F2" s="329"/>
      <c r="G2" s="329"/>
      <c r="H2" s="329"/>
      <c r="I2" s="330" t="s">
        <v>513</v>
      </c>
      <c r="J2" s="330"/>
      <c r="K2" s="330"/>
      <c r="L2" s="330"/>
    </row>
    <row r="3" spans="1:12" ht="21" x14ac:dyDescent="0.35">
      <c r="A3" s="310"/>
      <c r="B3" s="311" t="s">
        <v>514</v>
      </c>
      <c r="C3" s="311" t="s">
        <v>515</v>
      </c>
      <c r="D3" s="311" t="s">
        <v>516</v>
      </c>
      <c r="E3" s="3"/>
      <c r="F3" s="4" t="s">
        <v>514</v>
      </c>
      <c r="G3" s="4" t="s">
        <v>515</v>
      </c>
      <c r="H3" s="4" t="s">
        <v>516</v>
      </c>
      <c r="I3" s="1"/>
      <c r="J3" s="2" t="s">
        <v>514</v>
      </c>
      <c r="K3" s="2" t="s">
        <v>515</v>
      </c>
      <c r="L3" s="2" t="s">
        <v>516</v>
      </c>
    </row>
    <row r="4" spans="1:12" ht="21" x14ac:dyDescent="0.35">
      <c r="A4" s="311" t="s">
        <v>517</v>
      </c>
      <c r="B4" s="311">
        <v>7</v>
      </c>
      <c r="C4" s="311">
        <v>7</v>
      </c>
      <c r="D4" s="311">
        <f>SUM(B4+C4)</f>
        <v>14</v>
      </c>
      <c r="E4" s="4" t="s">
        <v>517</v>
      </c>
      <c r="F4" s="4">
        <v>8</v>
      </c>
      <c r="G4" s="4">
        <v>7</v>
      </c>
      <c r="H4" s="4">
        <f>SUM(F4+G4)</f>
        <v>15</v>
      </c>
      <c r="I4" s="2" t="s">
        <v>517</v>
      </c>
      <c r="J4" s="2"/>
      <c r="K4" s="2"/>
      <c r="L4" s="2"/>
    </row>
    <row r="5" spans="1:12" ht="21" x14ac:dyDescent="0.35">
      <c r="A5" s="311" t="s">
        <v>518</v>
      </c>
      <c r="B5" s="311">
        <v>5</v>
      </c>
      <c r="C5" s="311">
        <v>8</v>
      </c>
      <c r="D5" s="311">
        <f t="shared" ref="D5:D13" si="0">SUM(B5+C5)</f>
        <v>13</v>
      </c>
      <c r="E5" s="4" t="s">
        <v>518</v>
      </c>
      <c r="F5" s="4">
        <v>7</v>
      </c>
      <c r="G5" s="4">
        <v>7</v>
      </c>
      <c r="H5" s="4">
        <f t="shared" ref="H5:H13" si="1">SUM(F5+G5)</f>
        <v>14</v>
      </c>
      <c r="I5" s="2" t="s">
        <v>518</v>
      </c>
      <c r="J5" s="2"/>
      <c r="K5" s="2"/>
      <c r="L5" s="2"/>
    </row>
    <row r="6" spans="1:12" ht="21" x14ac:dyDescent="0.35">
      <c r="A6" s="311" t="s">
        <v>519</v>
      </c>
      <c r="B6" s="311">
        <v>7</v>
      </c>
      <c r="C6" s="311">
        <v>12</v>
      </c>
      <c r="D6" s="311">
        <f t="shared" si="0"/>
        <v>19</v>
      </c>
      <c r="E6" s="4" t="s">
        <v>519</v>
      </c>
      <c r="F6" s="4">
        <v>10</v>
      </c>
      <c r="G6" s="4">
        <v>11</v>
      </c>
      <c r="H6" s="4">
        <f t="shared" si="1"/>
        <v>21</v>
      </c>
      <c r="I6" s="2" t="s">
        <v>519</v>
      </c>
      <c r="J6" s="2"/>
      <c r="K6" s="2"/>
      <c r="L6" s="2"/>
    </row>
    <row r="7" spans="1:12" ht="21" x14ac:dyDescent="0.35">
      <c r="A7" s="311" t="s">
        <v>141</v>
      </c>
      <c r="B7" s="311">
        <v>20</v>
      </c>
      <c r="C7" s="311">
        <v>10</v>
      </c>
      <c r="D7" s="311">
        <f t="shared" si="0"/>
        <v>30</v>
      </c>
      <c r="E7" s="4" t="s">
        <v>141</v>
      </c>
      <c r="F7" s="4">
        <v>16</v>
      </c>
      <c r="G7" s="4">
        <v>10</v>
      </c>
      <c r="H7" s="4">
        <f t="shared" si="1"/>
        <v>26</v>
      </c>
      <c r="I7" s="2" t="s">
        <v>141</v>
      </c>
      <c r="J7" s="2"/>
      <c r="K7" s="2"/>
      <c r="L7" s="2"/>
    </row>
    <row r="8" spans="1:12" ht="21" x14ac:dyDescent="0.35">
      <c r="A8" s="311" t="s">
        <v>225</v>
      </c>
      <c r="B8" s="311">
        <v>7</v>
      </c>
      <c r="C8" s="311">
        <v>9</v>
      </c>
      <c r="D8" s="311">
        <f t="shared" si="0"/>
        <v>16</v>
      </c>
      <c r="E8" s="4" t="s">
        <v>225</v>
      </c>
      <c r="F8" s="4">
        <v>8</v>
      </c>
      <c r="G8" s="4">
        <v>13</v>
      </c>
      <c r="H8" s="4">
        <f t="shared" si="1"/>
        <v>21</v>
      </c>
      <c r="I8" s="2" t="s">
        <v>225</v>
      </c>
      <c r="J8" s="2"/>
      <c r="K8" s="2"/>
      <c r="L8" s="2"/>
    </row>
    <row r="9" spans="1:12" ht="21" x14ac:dyDescent="0.35">
      <c r="A9" s="311" t="s">
        <v>265</v>
      </c>
      <c r="B9" s="311">
        <v>10</v>
      </c>
      <c r="C9" s="311">
        <v>16</v>
      </c>
      <c r="D9" s="311">
        <f t="shared" si="0"/>
        <v>26</v>
      </c>
      <c r="E9" s="4" t="s">
        <v>265</v>
      </c>
      <c r="F9" s="4">
        <v>9</v>
      </c>
      <c r="G9" s="4">
        <v>16</v>
      </c>
      <c r="H9" s="4">
        <f>SUM(F9+G9)</f>
        <v>25</v>
      </c>
      <c r="I9" s="2" t="s">
        <v>265</v>
      </c>
      <c r="J9" s="2"/>
      <c r="K9" s="2"/>
      <c r="L9" s="2"/>
    </row>
    <row r="10" spans="1:12" ht="21" x14ac:dyDescent="0.35">
      <c r="A10" s="311" t="s">
        <v>327</v>
      </c>
      <c r="B10" s="311">
        <v>6</v>
      </c>
      <c r="C10" s="311">
        <v>14</v>
      </c>
      <c r="D10" s="311">
        <f t="shared" si="0"/>
        <v>20</v>
      </c>
      <c r="E10" s="4" t="s">
        <v>327</v>
      </c>
      <c r="F10" s="4">
        <v>4</v>
      </c>
      <c r="G10" s="4">
        <v>14</v>
      </c>
      <c r="H10" s="4">
        <f t="shared" si="1"/>
        <v>18</v>
      </c>
      <c r="I10" s="2" t="s">
        <v>327</v>
      </c>
      <c r="J10" s="2"/>
      <c r="K10" s="2"/>
      <c r="L10" s="2"/>
    </row>
    <row r="11" spans="1:12" ht="21" x14ac:dyDescent="0.35">
      <c r="A11" s="311" t="s">
        <v>367</v>
      </c>
      <c r="B11" s="311">
        <v>10</v>
      </c>
      <c r="C11" s="311">
        <v>14</v>
      </c>
      <c r="D11" s="311">
        <f t="shared" si="0"/>
        <v>24</v>
      </c>
      <c r="E11" s="4" t="s">
        <v>367</v>
      </c>
      <c r="F11" s="4">
        <v>10</v>
      </c>
      <c r="G11" s="4">
        <v>15</v>
      </c>
      <c r="H11" s="4">
        <f t="shared" si="1"/>
        <v>25</v>
      </c>
      <c r="I11" s="2" t="s">
        <v>367</v>
      </c>
      <c r="J11" s="2"/>
      <c r="K11" s="2"/>
      <c r="L11" s="2"/>
    </row>
    <row r="12" spans="1:12" ht="21" x14ac:dyDescent="0.35">
      <c r="A12" s="311" t="s">
        <v>415</v>
      </c>
      <c r="B12" s="311">
        <v>12</v>
      </c>
      <c r="C12" s="311">
        <v>8</v>
      </c>
      <c r="D12" s="311">
        <f t="shared" si="0"/>
        <v>20</v>
      </c>
      <c r="E12" s="4" t="s">
        <v>415</v>
      </c>
      <c r="F12" s="4">
        <v>14</v>
      </c>
      <c r="G12" s="4">
        <v>7</v>
      </c>
      <c r="H12" s="4">
        <f t="shared" si="1"/>
        <v>21</v>
      </c>
      <c r="I12" s="2" t="s">
        <v>415</v>
      </c>
      <c r="J12" s="2"/>
      <c r="K12" s="2"/>
      <c r="L12" s="2"/>
    </row>
    <row r="13" spans="1:12" ht="21" x14ac:dyDescent="0.35">
      <c r="A13" s="311" t="s">
        <v>454</v>
      </c>
      <c r="B13" s="311">
        <v>12</v>
      </c>
      <c r="C13" s="311">
        <v>17</v>
      </c>
      <c r="D13" s="311">
        <f t="shared" si="0"/>
        <v>29</v>
      </c>
      <c r="E13" s="4" t="s">
        <v>454</v>
      </c>
      <c r="F13" s="4">
        <v>14</v>
      </c>
      <c r="G13" s="4">
        <v>17</v>
      </c>
      <c r="H13" s="4">
        <f t="shared" si="1"/>
        <v>31</v>
      </c>
      <c r="I13" s="2" t="s">
        <v>454</v>
      </c>
      <c r="J13" s="2"/>
      <c r="K13" s="2"/>
      <c r="L13" s="2"/>
    </row>
    <row r="14" spans="1:12" ht="26.25" x14ac:dyDescent="0.4">
      <c r="A14" s="312" t="s">
        <v>520</v>
      </c>
      <c r="B14" s="313">
        <f>SUM(B4:B13)</f>
        <v>96</v>
      </c>
      <c r="C14" s="313">
        <f>SUM(C4:C13)</f>
        <v>115</v>
      </c>
      <c r="D14" s="313">
        <f>SUM(D4:D13)</f>
        <v>211</v>
      </c>
      <c r="E14" s="7" t="s">
        <v>520</v>
      </c>
      <c r="F14" s="8">
        <f>SUM(F4:F13)</f>
        <v>100</v>
      </c>
      <c r="G14" s="8">
        <f>SUM(G4:G13)</f>
        <v>117</v>
      </c>
      <c r="H14" s="8">
        <f>SUM(H4:H13)</f>
        <v>217</v>
      </c>
      <c r="I14" s="5" t="s">
        <v>520</v>
      </c>
      <c r="J14" s="6"/>
      <c r="K14" s="6"/>
      <c r="L14" s="6"/>
    </row>
    <row r="15" spans="1:12" ht="21" x14ac:dyDescent="0.35">
      <c r="A15" s="9"/>
      <c r="B15" s="10"/>
      <c r="C15" s="10"/>
      <c r="D15" s="10"/>
      <c r="E15" s="9"/>
      <c r="F15" s="10"/>
      <c r="G15" s="10"/>
      <c r="H15" s="10"/>
      <c r="I15" s="9"/>
      <c r="J15" s="10"/>
      <c r="K15" s="10"/>
      <c r="L15" s="10"/>
    </row>
    <row r="16" spans="1:12" ht="21" x14ac:dyDescent="0.35">
      <c r="A16" s="11" t="s">
        <v>521</v>
      </c>
      <c r="B16" s="11"/>
      <c r="C16" s="11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21" x14ac:dyDescent="0.35">
      <c r="A17" s="12" t="s">
        <v>522</v>
      </c>
      <c r="B17" s="12" t="s">
        <v>523</v>
      </c>
      <c r="C17" s="12" t="s">
        <v>516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21" x14ac:dyDescent="0.35">
      <c r="A18" s="12">
        <v>4</v>
      </c>
      <c r="B18" s="12">
        <v>10</v>
      </c>
      <c r="C18" s="12">
        <v>14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21" x14ac:dyDescent="0.35">
      <c r="A19" s="12" t="s">
        <v>524</v>
      </c>
      <c r="B19" s="12" t="s">
        <v>525</v>
      </c>
      <c r="C19" s="12" t="s">
        <v>526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21" x14ac:dyDescent="0.35">
      <c r="A20" s="12">
        <v>4</v>
      </c>
      <c r="B20" s="12">
        <v>6</v>
      </c>
      <c r="C20" s="12">
        <v>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2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9" spans="1:12" x14ac:dyDescent="0.15">
      <c r="I29" t="s">
        <v>221</v>
      </c>
    </row>
  </sheetData>
  <mergeCells count="4">
    <mergeCell ref="A1:L1"/>
    <mergeCell ref="A2:D2"/>
    <mergeCell ref="E2:H2"/>
    <mergeCell ref="I2:L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B3EE-C8C0-4E86-90E8-E847C89149B0}">
  <dimension ref="A1:J24"/>
  <sheetViews>
    <sheetView workbookViewId="0">
      <selection activeCell="E24" sqref="E24"/>
    </sheetView>
  </sheetViews>
  <sheetFormatPr defaultRowHeight="13.5" x14ac:dyDescent="0.15"/>
  <cols>
    <col min="4" max="4" width="15" bestFit="1" customWidth="1"/>
    <col min="8" max="8" width="15" bestFit="1" customWidth="1"/>
    <col min="9" max="9" width="14.375" customWidth="1"/>
    <col min="10" max="10" width="14" customWidth="1"/>
  </cols>
  <sheetData>
    <row r="1" spans="1:10" ht="15" x14ac:dyDescent="0.25">
      <c r="D1" s="14" t="s">
        <v>529</v>
      </c>
      <c r="E1" s="14" t="s">
        <v>530</v>
      </c>
      <c r="F1" s="14" t="s">
        <v>531</v>
      </c>
      <c r="G1" s="14" t="s">
        <v>529</v>
      </c>
      <c r="H1" s="14" t="s">
        <v>532</v>
      </c>
      <c r="I1" s="14" t="s">
        <v>533</v>
      </c>
      <c r="J1" s="14" t="s">
        <v>534</v>
      </c>
    </row>
    <row r="2" spans="1:10" ht="21" x14ac:dyDescent="0.35">
      <c r="A2" s="13" t="s">
        <v>327</v>
      </c>
      <c r="B2" s="13">
        <v>6</v>
      </c>
      <c r="C2" s="13">
        <v>14</v>
      </c>
      <c r="D2" s="13">
        <f>SUM(B2+C2)</f>
        <v>20</v>
      </c>
      <c r="E2">
        <v>5</v>
      </c>
      <c r="F2" s="15">
        <v>7000</v>
      </c>
      <c r="G2">
        <f>F2*E2</f>
        <v>35000</v>
      </c>
      <c r="H2">
        <f>J2-I2</f>
        <v>500000</v>
      </c>
      <c r="I2">
        <f>G2*D2</f>
        <v>700000</v>
      </c>
      <c r="J2">
        <f>D2*60000</f>
        <v>1200000</v>
      </c>
    </row>
    <row r="3" spans="1:10" ht="21" x14ac:dyDescent="0.35">
      <c r="A3" s="13" t="s">
        <v>367</v>
      </c>
      <c r="B3" s="13">
        <v>10</v>
      </c>
      <c r="C3" s="13">
        <v>14</v>
      </c>
      <c r="D3" s="13">
        <f>SUM(B3+C3)</f>
        <v>24</v>
      </c>
      <c r="E3">
        <v>5</v>
      </c>
      <c r="F3" s="15">
        <v>7000</v>
      </c>
      <c r="G3">
        <f>F3*E3</f>
        <v>35000</v>
      </c>
      <c r="H3">
        <f>J3-I3</f>
        <v>600000</v>
      </c>
      <c r="I3">
        <f>G3*D3</f>
        <v>840000</v>
      </c>
      <c r="J3">
        <f>D3*60000</f>
        <v>1440000</v>
      </c>
    </row>
    <row r="4" spans="1:10" ht="21" x14ac:dyDescent="0.35">
      <c r="A4" s="13" t="s">
        <v>415</v>
      </c>
      <c r="B4" s="13">
        <v>12</v>
      </c>
      <c r="C4" s="13">
        <v>8</v>
      </c>
      <c r="D4" s="13">
        <f>SUM(B4+C4)</f>
        <v>20</v>
      </c>
      <c r="E4">
        <v>5</v>
      </c>
      <c r="F4" s="15">
        <v>7000</v>
      </c>
      <c r="G4">
        <f>F4*E4</f>
        <v>35000</v>
      </c>
      <c r="H4">
        <f>J4-I4</f>
        <v>500000</v>
      </c>
      <c r="I4">
        <f>G4*D4</f>
        <v>700000</v>
      </c>
      <c r="J4">
        <f>D4*60000</f>
        <v>1200000</v>
      </c>
    </row>
    <row r="5" spans="1:10" ht="21" x14ac:dyDescent="0.35">
      <c r="A5" s="13" t="s">
        <v>454</v>
      </c>
      <c r="B5" s="13">
        <v>12</v>
      </c>
      <c r="C5" s="13">
        <v>17</v>
      </c>
      <c r="D5" s="13">
        <f>SUM(B5+C5)</f>
        <v>29</v>
      </c>
      <c r="E5">
        <v>5</v>
      </c>
      <c r="F5" s="15">
        <v>7000</v>
      </c>
      <c r="G5">
        <f>F5*E5</f>
        <v>35000</v>
      </c>
      <c r="H5">
        <f>J5-I5</f>
        <v>725000</v>
      </c>
      <c r="I5">
        <f>G5*D5</f>
        <v>1015000</v>
      </c>
      <c r="J5">
        <f>D5*60000</f>
        <v>1740000</v>
      </c>
    </row>
    <row r="7" spans="1:10" ht="15" x14ac:dyDescent="0.25">
      <c r="D7" s="14">
        <f>SUM(D2:D6)</f>
        <v>93</v>
      </c>
      <c r="H7" s="16">
        <f>SUM(H2:H6)</f>
        <v>2325000</v>
      </c>
      <c r="I7" s="16">
        <f>SUM(I2:I6)</f>
        <v>3255000</v>
      </c>
      <c r="J7" s="16">
        <f>SUM(J2:J6)</f>
        <v>5580000</v>
      </c>
    </row>
    <row r="9" spans="1:10" ht="15" x14ac:dyDescent="0.25">
      <c r="B9" s="14" t="s">
        <v>535</v>
      </c>
      <c r="C9">
        <f>D2*3500</f>
        <v>70000</v>
      </c>
      <c r="H9" s="17">
        <f>H7-C14</f>
        <v>1999500</v>
      </c>
    </row>
    <row r="10" spans="1:10" ht="15" x14ac:dyDescent="0.25">
      <c r="B10" s="14" t="s">
        <v>535</v>
      </c>
      <c r="C10">
        <f>D3*3500</f>
        <v>84000</v>
      </c>
    </row>
    <row r="11" spans="1:10" ht="15" x14ac:dyDescent="0.25">
      <c r="B11" s="14" t="s">
        <v>535</v>
      </c>
      <c r="C11">
        <f>D4*3500</f>
        <v>70000</v>
      </c>
    </row>
    <row r="12" spans="1:10" ht="15" x14ac:dyDescent="0.25">
      <c r="B12" s="14" t="s">
        <v>535</v>
      </c>
      <c r="C12">
        <f>D5*3500</f>
        <v>101500</v>
      </c>
    </row>
    <row r="14" spans="1:10" ht="15" x14ac:dyDescent="0.25">
      <c r="C14" s="14">
        <f>SUM(C9:C13)</f>
        <v>325500</v>
      </c>
    </row>
    <row r="17" spans="3:7" ht="15" x14ac:dyDescent="0.25">
      <c r="C17">
        <f>D7*5</f>
        <v>465</v>
      </c>
      <c r="D17">
        <f>C17*1000</f>
        <v>465000</v>
      </c>
      <c r="F17" s="14">
        <f>30+15+26</f>
        <v>71</v>
      </c>
      <c r="G17">
        <f>F17*20000</f>
        <v>1420000</v>
      </c>
    </row>
    <row r="22" spans="3:7" x14ac:dyDescent="0.15">
      <c r="D22" s="18">
        <f>D7*20000</f>
        <v>1860000</v>
      </c>
    </row>
    <row r="24" spans="3:7" x14ac:dyDescent="0.15">
      <c r="D24" s="17">
        <f>D22/350000</f>
        <v>5.3142857142857141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4F95-98DE-41C4-B9C3-5E8A1AB496B8}">
  <dimension ref="A1:M155"/>
  <sheetViews>
    <sheetView topLeftCell="A16" zoomScaleNormal="100" workbookViewId="0">
      <selection activeCell="I15" sqref="I15"/>
    </sheetView>
  </sheetViews>
  <sheetFormatPr defaultRowHeight="15" x14ac:dyDescent="0.25"/>
  <cols>
    <col min="1" max="1" width="4" style="239" customWidth="1"/>
    <col min="2" max="2" width="25.75" style="239" customWidth="1"/>
    <col min="3" max="3" width="9.25" style="239" customWidth="1"/>
    <col min="4" max="4" width="11.625" style="243" customWidth="1"/>
    <col min="5" max="5" width="9" style="239"/>
    <col min="6" max="6" width="9" style="243"/>
    <col min="7" max="8" width="9" style="239"/>
    <col min="9" max="9" width="13.125" style="243" customWidth="1"/>
    <col min="10" max="10" width="14" style="243" customWidth="1"/>
    <col min="11" max="11" width="12.5" style="239" customWidth="1"/>
    <col min="12" max="16384" width="9" style="239"/>
  </cols>
  <sheetData>
    <row r="1" spans="1:11" x14ac:dyDescent="0.25">
      <c r="I1" s="243" t="s">
        <v>651</v>
      </c>
      <c r="K1" s="254">
        <f>60000</f>
        <v>60000</v>
      </c>
    </row>
    <row r="2" spans="1:11" x14ac:dyDescent="0.25">
      <c r="B2" s="239" t="s">
        <v>574</v>
      </c>
    </row>
    <row r="3" spans="1:11" s="241" customFormat="1" ht="11.25" x14ac:dyDescent="0.2">
      <c r="B3" s="251" t="s">
        <v>575</v>
      </c>
      <c r="C3" s="251" t="s">
        <v>576</v>
      </c>
      <c r="D3" s="252" t="s">
        <v>577</v>
      </c>
      <c r="E3" s="251" t="s">
        <v>578</v>
      </c>
      <c r="F3" s="252" t="s">
        <v>649</v>
      </c>
      <c r="G3" s="251" t="s">
        <v>650</v>
      </c>
      <c r="I3" s="331" t="s">
        <v>647</v>
      </c>
      <c r="J3" s="331"/>
      <c r="K3" s="331"/>
    </row>
    <row r="4" spans="1:11" x14ac:dyDescent="0.25">
      <c r="A4" s="239">
        <v>1</v>
      </c>
      <c r="B4" s="250" t="s">
        <v>628</v>
      </c>
      <c r="C4" s="250" t="s">
        <v>629</v>
      </c>
      <c r="D4" s="248">
        <v>60000</v>
      </c>
      <c r="E4" s="249">
        <f t="shared" ref="E4:E35" si="0">D4-$K$1</f>
        <v>0</v>
      </c>
      <c r="F4" s="248">
        <v>34800</v>
      </c>
      <c r="G4" s="249">
        <f t="shared" ref="G4:G35" si="1">D4-F4</f>
        <v>25200</v>
      </c>
      <c r="I4" s="248" t="s">
        <v>516</v>
      </c>
      <c r="J4" s="248" t="s">
        <v>581</v>
      </c>
      <c r="K4" s="249">
        <f>D109</f>
        <v>3650000</v>
      </c>
    </row>
    <row r="5" spans="1:11" x14ac:dyDescent="0.25">
      <c r="A5" s="239">
        <f>A4+1</f>
        <v>2</v>
      </c>
      <c r="B5" s="250" t="s">
        <v>605</v>
      </c>
      <c r="C5" s="250" t="s">
        <v>327</v>
      </c>
      <c r="D5" s="248">
        <v>60000</v>
      </c>
      <c r="E5" s="249">
        <f t="shared" si="0"/>
        <v>0</v>
      </c>
      <c r="F5" s="248">
        <v>34800</v>
      </c>
      <c r="G5" s="249">
        <f t="shared" si="1"/>
        <v>25200</v>
      </c>
      <c r="I5" s="248" t="s">
        <v>720</v>
      </c>
      <c r="J5" s="248">
        <f>300000</f>
        <v>300000</v>
      </c>
      <c r="K5" s="250"/>
    </row>
    <row r="6" spans="1:11" x14ac:dyDescent="0.25">
      <c r="A6" s="239">
        <f t="shared" ref="A6:A60" si="2">A5+1</f>
        <v>3</v>
      </c>
      <c r="B6" s="250" t="s">
        <v>610</v>
      </c>
      <c r="C6" s="250" t="s">
        <v>327</v>
      </c>
      <c r="D6" s="248">
        <v>60000</v>
      </c>
      <c r="E6" s="249">
        <f t="shared" si="0"/>
        <v>0</v>
      </c>
      <c r="F6" s="248">
        <v>34800</v>
      </c>
      <c r="G6" s="249">
        <f t="shared" si="1"/>
        <v>25200</v>
      </c>
      <c r="I6" s="248" t="s">
        <v>721</v>
      </c>
      <c r="J6" s="248">
        <v>800000</v>
      </c>
      <c r="K6" s="250"/>
    </row>
    <row r="7" spans="1:11" x14ac:dyDescent="0.25">
      <c r="A7" s="239">
        <f t="shared" si="2"/>
        <v>4</v>
      </c>
      <c r="B7" s="250" t="s">
        <v>611</v>
      </c>
      <c r="C7" s="250" t="s">
        <v>327</v>
      </c>
      <c r="D7" s="248">
        <v>60000</v>
      </c>
      <c r="E7" s="249">
        <f t="shared" si="0"/>
        <v>0</v>
      </c>
      <c r="F7" s="248">
        <v>34800</v>
      </c>
      <c r="G7" s="249">
        <f t="shared" si="1"/>
        <v>25200</v>
      </c>
      <c r="I7" s="248" t="s">
        <v>721</v>
      </c>
      <c r="J7" s="248">
        <v>300000</v>
      </c>
      <c r="K7" s="250"/>
    </row>
    <row r="8" spans="1:11" x14ac:dyDescent="0.25">
      <c r="A8" s="239">
        <f t="shared" si="2"/>
        <v>5</v>
      </c>
      <c r="B8" s="250" t="s">
        <v>614</v>
      </c>
      <c r="C8" s="250" t="s">
        <v>327</v>
      </c>
      <c r="D8" s="248">
        <v>60000</v>
      </c>
      <c r="E8" s="249">
        <f t="shared" si="0"/>
        <v>0</v>
      </c>
      <c r="F8" s="248">
        <v>34800</v>
      </c>
      <c r="G8" s="249">
        <f t="shared" si="1"/>
        <v>25200</v>
      </c>
      <c r="I8" s="248" t="s">
        <v>721</v>
      </c>
      <c r="J8" s="248">
        <v>294400</v>
      </c>
      <c r="K8" s="250"/>
    </row>
    <row r="9" spans="1:11" x14ac:dyDescent="0.25">
      <c r="A9" s="239">
        <f t="shared" si="2"/>
        <v>6</v>
      </c>
      <c r="B9" s="250" t="s">
        <v>639</v>
      </c>
      <c r="C9" s="250" t="s">
        <v>327</v>
      </c>
      <c r="D9" s="248">
        <v>60000</v>
      </c>
      <c r="E9" s="249">
        <f t="shared" si="0"/>
        <v>0</v>
      </c>
      <c r="F9" s="248">
        <v>34800</v>
      </c>
      <c r="G9" s="249">
        <f t="shared" si="1"/>
        <v>25200</v>
      </c>
      <c r="I9" s="248" t="s">
        <v>721</v>
      </c>
      <c r="J9" s="248">
        <v>60000</v>
      </c>
      <c r="K9" s="250"/>
    </row>
    <row r="10" spans="1:11" x14ac:dyDescent="0.25">
      <c r="A10" s="239">
        <f t="shared" si="2"/>
        <v>7</v>
      </c>
      <c r="B10" s="250" t="s">
        <v>640</v>
      </c>
      <c r="C10" s="250" t="s">
        <v>327</v>
      </c>
      <c r="D10" s="248">
        <v>60000</v>
      </c>
      <c r="E10" s="249">
        <f t="shared" si="0"/>
        <v>0</v>
      </c>
      <c r="F10" s="248">
        <v>34800</v>
      </c>
      <c r="G10" s="249">
        <f t="shared" si="1"/>
        <v>25200</v>
      </c>
      <c r="I10" s="248" t="s">
        <v>722</v>
      </c>
      <c r="J10" s="248">
        <v>1000000</v>
      </c>
      <c r="K10" s="250"/>
    </row>
    <row r="11" spans="1:11" x14ac:dyDescent="0.25">
      <c r="A11" s="239">
        <f t="shared" si="2"/>
        <v>8</v>
      </c>
      <c r="B11" s="250" t="s">
        <v>642</v>
      </c>
      <c r="C11" s="250" t="s">
        <v>327</v>
      </c>
      <c r="D11" s="248">
        <v>60000</v>
      </c>
      <c r="E11" s="249">
        <f t="shared" si="0"/>
        <v>0</v>
      </c>
      <c r="F11" s="248">
        <v>34800</v>
      </c>
      <c r="G11" s="249">
        <f t="shared" si="1"/>
        <v>25200</v>
      </c>
      <c r="I11" s="248" t="s">
        <v>723</v>
      </c>
      <c r="J11" s="248">
        <v>476000</v>
      </c>
      <c r="K11" s="250"/>
    </row>
    <row r="12" spans="1:11" x14ac:dyDescent="0.25">
      <c r="A12" s="239">
        <f t="shared" si="2"/>
        <v>9</v>
      </c>
      <c r="B12" s="250" t="s">
        <v>592</v>
      </c>
      <c r="C12" s="250" t="s">
        <v>367</v>
      </c>
      <c r="D12" s="248">
        <v>60000</v>
      </c>
      <c r="E12" s="249">
        <f t="shared" si="0"/>
        <v>0</v>
      </c>
      <c r="F12" s="248">
        <v>34800</v>
      </c>
      <c r="G12" s="249">
        <f t="shared" si="1"/>
        <v>25200</v>
      </c>
      <c r="I12" s="248"/>
      <c r="J12" s="248"/>
      <c r="K12" s="250"/>
    </row>
    <row r="13" spans="1:11" x14ac:dyDescent="0.25">
      <c r="A13" s="239">
        <f t="shared" si="2"/>
        <v>10</v>
      </c>
      <c r="B13" s="250" t="s">
        <v>596</v>
      </c>
      <c r="C13" s="250" t="s">
        <v>367</v>
      </c>
      <c r="D13" s="248">
        <v>60000</v>
      </c>
      <c r="E13" s="249">
        <f t="shared" si="0"/>
        <v>0</v>
      </c>
      <c r="F13" s="248">
        <v>34800</v>
      </c>
      <c r="G13" s="249">
        <f t="shared" si="1"/>
        <v>25200</v>
      </c>
      <c r="I13" s="248"/>
      <c r="J13" s="248"/>
      <c r="K13" s="250"/>
    </row>
    <row r="14" spans="1:11" x14ac:dyDescent="0.25">
      <c r="A14" s="239">
        <f t="shared" si="2"/>
        <v>11</v>
      </c>
      <c r="B14" s="250" t="s">
        <v>604</v>
      </c>
      <c r="C14" s="250" t="s">
        <v>367</v>
      </c>
      <c r="D14" s="248">
        <v>50000</v>
      </c>
      <c r="E14" s="249">
        <f t="shared" si="0"/>
        <v>-10000</v>
      </c>
      <c r="F14" s="248">
        <v>34800</v>
      </c>
      <c r="G14" s="249">
        <f t="shared" si="1"/>
        <v>15200</v>
      </c>
      <c r="H14" s="239" t="s">
        <v>719</v>
      </c>
      <c r="I14" s="248"/>
      <c r="J14" s="248"/>
      <c r="K14" s="250"/>
    </row>
    <row r="15" spans="1:11" x14ac:dyDescent="0.25">
      <c r="A15" s="239">
        <f t="shared" si="2"/>
        <v>12</v>
      </c>
      <c r="B15" s="250" t="s">
        <v>606</v>
      </c>
      <c r="C15" s="250" t="s">
        <v>367</v>
      </c>
      <c r="D15" s="248">
        <v>60000</v>
      </c>
      <c r="E15" s="249">
        <f t="shared" si="0"/>
        <v>0</v>
      </c>
      <c r="F15" s="248">
        <v>34800</v>
      </c>
      <c r="G15" s="249">
        <f t="shared" si="1"/>
        <v>25200</v>
      </c>
      <c r="I15" s="248"/>
      <c r="J15" s="248"/>
      <c r="K15" s="250"/>
    </row>
    <row r="16" spans="1:11" x14ac:dyDescent="0.25">
      <c r="A16" s="239">
        <f t="shared" si="2"/>
        <v>13</v>
      </c>
      <c r="B16" s="250" t="s">
        <v>607</v>
      </c>
      <c r="C16" s="250" t="s">
        <v>367</v>
      </c>
      <c r="D16" s="248">
        <f>30000+30000</f>
        <v>60000</v>
      </c>
      <c r="E16" s="249">
        <f t="shared" si="0"/>
        <v>0</v>
      </c>
      <c r="F16" s="248">
        <v>34800</v>
      </c>
      <c r="G16" s="249">
        <f t="shared" si="1"/>
        <v>25200</v>
      </c>
      <c r="I16" s="248"/>
      <c r="J16" s="248"/>
      <c r="K16" s="250"/>
    </row>
    <row r="17" spans="1:11" x14ac:dyDescent="0.25">
      <c r="A17" s="239">
        <f t="shared" si="2"/>
        <v>14</v>
      </c>
      <c r="B17" s="250" t="s">
        <v>612</v>
      </c>
      <c r="C17" s="250" t="s">
        <v>367</v>
      </c>
      <c r="D17" s="248">
        <v>60000</v>
      </c>
      <c r="E17" s="249">
        <f t="shared" si="0"/>
        <v>0</v>
      </c>
      <c r="F17" s="248">
        <v>34800</v>
      </c>
      <c r="G17" s="249">
        <f t="shared" si="1"/>
        <v>25200</v>
      </c>
      <c r="I17" s="248"/>
      <c r="J17" s="248"/>
      <c r="K17" s="250"/>
    </row>
    <row r="18" spans="1:11" x14ac:dyDescent="0.25">
      <c r="A18" s="239">
        <f t="shared" si="2"/>
        <v>15</v>
      </c>
      <c r="B18" s="250" t="s">
        <v>613</v>
      </c>
      <c r="C18" s="250" t="s">
        <v>367</v>
      </c>
      <c r="D18" s="248">
        <v>50000</v>
      </c>
      <c r="E18" s="249">
        <f t="shared" si="0"/>
        <v>-10000</v>
      </c>
      <c r="F18" s="248">
        <v>34800</v>
      </c>
      <c r="G18" s="249">
        <f t="shared" si="1"/>
        <v>15200</v>
      </c>
      <c r="I18" s="248"/>
      <c r="J18" s="248"/>
      <c r="K18" s="250"/>
    </row>
    <row r="19" spans="1:11" x14ac:dyDescent="0.25">
      <c r="A19" s="239">
        <f t="shared" si="2"/>
        <v>16</v>
      </c>
      <c r="B19" s="250" t="s">
        <v>616</v>
      </c>
      <c r="C19" s="250" t="s">
        <v>367</v>
      </c>
      <c r="D19" s="248">
        <v>60000</v>
      </c>
      <c r="E19" s="249">
        <f t="shared" si="0"/>
        <v>0</v>
      </c>
      <c r="F19" s="248">
        <v>34800</v>
      </c>
      <c r="G19" s="249">
        <f t="shared" si="1"/>
        <v>25200</v>
      </c>
      <c r="I19" s="248" t="s">
        <v>516</v>
      </c>
      <c r="J19" s="248">
        <f>SUM(J5:J18)</f>
        <v>3230400</v>
      </c>
      <c r="K19" s="250"/>
    </row>
    <row r="20" spans="1:11" x14ac:dyDescent="0.25">
      <c r="A20" s="239">
        <f t="shared" si="2"/>
        <v>17</v>
      </c>
      <c r="B20" s="250" t="s">
        <v>619</v>
      </c>
      <c r="C20" s="250" t="s">
        <v>367</v>
      </c>
      <c r="D20" s="248">
        <v>60000</v>
      </c>
      <c r="E20" s="249">
        <f t="shared" si="0"/>
        <v>0</v>
      </c>
      <c r="F20" s="248">
        <v>34800</v>
      </c>
      <c r="G20" s="249">
        <f t="shared" si="1"/>
        <v>25200</v>
      </c>
      <c r="I20" s="248" t="s">
        <v>648</v>
      </c>
      <c r="J20" s="248"/>
      <c r="K20" s="249">
        <f>K4-J19</f>
        <v>419600</v>
      </c>
    </row>
    <row r="21" spans="1:11" x14ac:dyDescent="0.25">
      <c r="A21" s="239">
        <f t="shared" si="2"/>
        <v>18</v>
      </c>
      <c r="B21" s="250" t="s">
        <v>622</v>
      </c>
      <c r="C21" s="250" t="s">
        <v>367</v>
      </c>
      <c r="D21" s="248">
        <v>30000</v>
      </c>
      <c r="E21" s="249">
        <f t="shared" si="0"/>
        <v>-30000</v>
      </c>
      <c r="F21" s="248">
        <v>34800</v>
      </c>
      <c r="G21" s="249">
        <f t="shared" si="1"/>
        <v>-4800</v>
      </c>
    </row>
    <row r="22" spans="1:11" x14ac:dyDescent="0.25">
      <c r="A22" s="239">
        <f t="shared" si="2"/>
        <v>19</v>
      </c>
      <c r="B22" s="250" t="s">
        <v>623</v>
      </c>
      <c r="C22" s="250" t="s">
        <v>367</v>
      </c>
      <c r="D22" s="248">
        <v>60000</v>
      </c>
      <c r="E22" s="249">
        <f t="shared" si="0"/>
        <v>0</v>
      </c>
      <c r="F22" s="248">
        <v>34800</v>
      </c>
      <c r="G22" s="249">
        <f t="shared" si="1"/>
        <v>25200</v>
      </c>
    </row>
    <row r="23" spans="1:11" x14ac:dyDescent="0.25">
      <c r="A23" s="239">
        <f t="shared" si="2"/>
        <v>20</v>
      </c>
      <c r="B23" s="250" t="s">
        <v>624</v>
      </c>
      <c r="C23" s="250" t="s">
        <v>367</v>
      </c>
      <c r="D23" s="248">
        <f>30000+30000</f>
        <v>60000</v>
      </c>
      <c r="E23" s="249">
        <f t="shared" si="0"/>
        <v>0</v>
      </c>
      <c r="F23" s="248">
        <v>34800</v>
      </c>
      <c r="G23" s="249">
        <f t="shared" si="1"/>
        <v>25200</v>
      </c>
    </row>
    <row r="24" spans="1:11" x14ac:dyDescent="0.25">
      <c r="A24" s="239">
        <f t="shared" si="2"/>
        <v>21</v>
      </c>
      <c r="B24" s="250" t="s">
        <v>625</v>
      </c>
      <c r="C24" s="250" t="s">
        <v>367</v>
      </c>
      <c r="D24" s="248">
        <v>60000</v>
      </c>
      <c r="E24" s="249">
        <f t="shared" si="0"/>
        <v>0</v>
      </c>
      <c r="F24" s="248">
        <v>34800</v>
      </c>
      <c r="G24" s="249">
        <f t="shared" si="1"/>
        <v>25200</v>
      </c>
    </row>
    <row r="25" spans="1:11" x14ac:dyDescent="0.25">
      <c r="A25" s="239">
        <f t="shared" si="2"/>
        <v>22</v>
      </c>
      <c r="B25" s="250" t="s">
        <v>626</v>
      </c>
      <c r="C25" s="250" t="s">
        <v>367</v>
      </c>
      <c r="D25" s="248">
        <v>60000</v>
      </c>
      <c r="E25" s="249">
        <f t="shared" si="0"/>
        <v>0</v>
      </c>
      <c r="F25" s="248">
        <v>34800</v>
      </c>
      <c r="G25" s="249">
        <f t="shared" si="1"/>
        <v>25200</v>
      </c>
    </row>
    <row r="26" spans="1:11" x14ac:dyDescent="0.25">
      <c r="A26" s="239">
        <f t="shared" si="2"/>
        <v>23</v>
      </c>
      <c r="B26" s="250" t="s">
        <v>627</v>
      </c>
      <c r="C26" s="250" t="s">
        <v>367</v>
      </c>
      <c r="D26" s="248">
        <v>60000</v>
      </c>
      <c r="E26" s="249">
        <f t="shared" si="0"/>
        <v>0</v>
      </c>
      <c r="F26" s="248">
        <v>34800</v>
      </c>
      <c r="G26" s="249">
        <f t="shared" si="1"/>
        <v>25200</v>
      </c>
    </row>
    <row r="27" spans="1:11" x14ac:dyDescent="0.25">
      <c r="A27" s="239">
        <f t="shared" si="2"/>
        <v>24</v>
      </c>
      <c r="B27" s="250" t="s">
        <v>636</v>
      </c>
      <c r="C27" s="250" t="s">
        <v>367</v>
      </c>
      <c r="D27" s="248">
        <v>60000</v>
      </c>
      <c r="E27" s="249">
        <f t="shared" si="0"/>
        <v>0</v>
      </c>
      <c r="F27" s="248">
        <v>34800</v>
      </c>
      <c r="G27" s="249">
        <f t="shared" si="1"/>
        <v>25200</v>
      </c>
    </row>
    <row r="28" spans="1:11" x14ac:dyDescent="0.25">
      <c r="A28" s="239">
        <f t="shared" si="2"/>
        <v>25</v>
      </c>
      <c r="B28" s="250" t="s">
        <v>637</v>
      </c>
      <c r="C28" s="250" t="s">
        <v>367</v>
      </c>
      <c r="D28" s="248">
        <v>60000</v>
      </c>
      <c r="E28" s="249">
        <f t="shared" si="0"/>
        <v>0</v>
      </c>
      <c r="F28" s="248">
        <v>34800</v>
      </c>
      <c r="G28" s="249">
        <f t="shared" si="1"/>
        <v>25200</v>
      </c>
    </row>
    <row r="29" spans="1:11" x14ac:dyDescent="0.25">
      <c r="A29" s="239">
        <f t="shared" si="2"/>
        <v>26</v>
      </c>
      <c r="B29" s="250" t="s">
        <v>638</v>
      </c>
      <c r="C29" s="250" t="s">
        <v>367</v>
      </c>
      <c r="D29" s="248">
        <v>60000</v>
      </c>
      <c r="E29" s="249">
        <f t="shared" si="0"/>
        <v>0</v>
      </c>
      <c r="F29" s="248">
        <v>34800</v>
      </c>
      <c r="G29" s="249">
        <f t="shared" si="1"/>
        <v>25200</v>
      </c>
    </row>
    <row r="30" spans="1:11" x14ac:dyDescent="0.25">
      <c r="A30" s="239">
        <f t="shared" si="2"/>
        <v>27</v>
      </c>
      <c r="B30" s="250" t="s">
        <v>644</v>
      </c>
      <c r="C30" s="250" t="s">
        <v>367</v>
      </c>
      <c r="D30" s="248">
        <v>60000</v>
      </c>
      <c r="E30" s="249">
        <f t="shared" si="0"/>
        <v>0</v>
      </c>
      <c r="F30" s="248">
        <v>34800</v>
      </c>
      <c r="G30" s="249">
        <f t="shared" si="1"/>
        <v>25200</v>
      </c>
    </row>
    <row r="31" spans="1:11" x14ac:dyDescent="0.25">
      <c r="A31" s="239">
        <f t="shared" si="2"/>
        <v>28</v>
      </c>
      <c r="B31" s="250" t="s">
        <v>646</v>
      </c>
      <c r="C31" s="250" t="s">
        <v>367</v>
      </c>
      <c r="D31" s="248">
        <v>60000</v>
      </c>
      <c r="E31" s="249">
        <f t="shared" si="0"/>
        <v>0</v>
      </c>
      <c r="F31" s="248">
        <v>34800</v>
      </c>
      <c r="G31" s="249">
        <f t="shared" si="1"/>
        <v>25200</v>
      </c>
    </row>
    <row r="32" spans="1:11" x14ac:dyDescent="0.25">
      <c r="A32" s="239">
        <f t="shared" si="2"/>
        <v>29</v>
      </c>
      <c r="B32" s="250" t="s">
        <v>609</v>
      </c>
      <c r="C32" s="250" t="s">
        <v>415</v>
      </c>
      <c r="D32" s="248">
        <v>60000</v>
      </c>
      <c r="E32" s="249">
        <f t="shared" si="0"/>
        <v>0</v>
      </c>
      <c r="F32" s="248">
        <v>34800</v>
      </c>
      <c r="G32" s="249">
        <f t="shared" si="1"/>
        <v>25200</v>
      </c>
    </row>
    <row r="33" spans="1:7" x14ac:dyDescent="0.25">
      <c r="A33" s="239">
        <f t="shared" si="2"/>
        <v>30</v>
      </c>
      <c r="B33" s="250" t="s">
        <v>615</v>
      </c>
      <c r="C33" s="250" t="s">
        <v>415</v>
      </c>
      <c r="D33" s="248">
        <v>60000</v>
      </c>
      <c r="E33" s="249">
        <f t="shared" si="0"/>
        <v>0</v>
      </c>
      <c r="F33" s="248">
        <v>34800</v>
      </c>
      <c r="G33" s="249">
        <f t="shared" si="1"/>
        <v>25200</v>
      </c>
    </row>
    <row r="34" spans="1:7" x14ac:dyDescent="0.25">
      <c r="A34" s="239">
        <f t="shared" si="2"/>
        <v>31</v>
      </c>
      <c r="B34" s="250" t="s">
        <v>617</v>
      </c>
      <c r="C34" s="250" t="s">
        <v>415</v>
      </c>
      <c r="D34" s="248">
        <v>60000</v>
      </c>
      <c r="E34" s="249">
        <f t="shared" si="0"/>
        <v>0</v>
      </c>
      <c r="F34" s="248">
        <v>34800</v>
      </c>
      <c r="G34" s="249">
        <f t="shared" si="1"/>
        <v>25200</v>
      </c>
    </row>
    <row r="35" spans="1:7" x14ac:dyDescent="0.25">
      <c r="A35" s="239">
        <f t="shared" si="2"/>
        <v>32</v>
      </c>
      <c r="B35" s="250" t="s">
        <v>618</v>
      </c>
      <c r="C35" s="250" t="s">
        <v>415</v>
      </c>
      <c r="D35" s="248">
        <v>60000</v>
      </c>
      <c r="E35" s="249">
        <f t="shared" si="0"/>
        <v>0</v>
      </c>
      <c r="F35" s="248">
        <v>34800</v>
      </c>
      <c r="G35" s="249">
        <f t="shared" si="1"/>
        <v>25200</v>
      </c>
    </row>
    <row r="36" spans="1:7" x14ac:dyDescent="0.25">
      <c r="A36" s="239">
        <f t="shared" si="2"/>
        <v>33</v>
      </c>
      <c r="B36" s="250" t="s">
        <v>620</v>
      </c>
      <c r="C36" s="250" t="s">
        <v>415</v>
      </c>
      <c r="D36" s="248">
        <v>60000</v>
      </c>
      <c r="E36" s="249">
        <f t="shared" ref="E36:E62" si="3">D36-$K$1</f>
        <v>0</v>
      </c>
      <c r="F36" s="248">
        <v>34800</v>
      </c>
      <c r="G36" s="249">
        <f t="shared" ref="G36:G60" si="4">D36-F36</f>
        <v>25200</v>
      </c>
    </row>
    <row r="37" spans="1:7" x14ac:dyDescent="0.25">
      <c r="A37" s="239">
        <f t="shared" si="2"/>
        <v>34</v>
      </c>
      <c r="B37" s="250" t="s">
        <v>630</v>
      </c>
      <c r="C37" s="250" t="s">
        <v>415</v>
      </c>
      <c r="D37" s="248">
        <v>60000</v>
      </c>
      <c r="E37" s="249">
        <f t="shared" si="3"/>
        <v>0</v>
      </c>
      <c r="F37" s="248">
        <v>34800</v>
      </c>
      <c r="G37" s="249">
        <f t="shared" si="4"/>
        <v>25200</v>
      </c>
    </row>
    <row r="38" spans="1:7" x14ac:dyDescent="0.25">
      <c r="A38" s="239">
        <f t="shared" si="2"/>
        <v>35</v>
      </c>
      <c r="B38" s="250" t="s">
        <v>631</v>
      </c>
      <c r="C38" s="250" t="s">
        <v>415</v>
      </c>
      <c r="D38" s="248">
        <v>30000</v>
      </c>
      <c r="E38" s="249">
        <f t="shared" si="3"/>
        <v>-30000</v>
      </c>
      <c r="F38" s="248">
        <v>34800</v>
      </c>
      <c r="G38" s="249">
        <f t="shared" si="4"/>
        <v>-4800</v>
      </c>
    </row>
    <row r="39" spans="1:7" x14ac:dyDescent="0.25">
      <c r="A39" s="239">
        <f t="shared" si="2"/>
        <v>36</v>
      </c>
      <c r="B39" s="250" t="s">
        <v>632</v>
      </c>
      <c r="C39" s="250" t="s">
        <v>415</v>
      </c>
      <c r="D39" s="248">
        <v>60000</v>
      </c>
      <c r="E39" s="249">
        <f t="shared" si="3"/>
        <v>0</v>
      </c>
      <c r="F39" s="248">
        <v>34800</v>
      </c>
      <c r="G39" s="249">
        <f t="shared" si="4"/>
        <v>25200</v>
      </c>
    </row>
    <row r="40" spans="1:7" x14ac:dyDescent="0.25">
      <c r="A40" s="239">
        <f t="shared" si="2"/>
        <v>37</v>
      </c>
      <c r="B40" s="250" t="s">
        <v>635</v>
      </c>
      <c r="C40" s="250" t="s">
        <v>415</v>
      </c>
      <c r="D40" s="248">
        <v>60000</v>
      </c>
      <c r="E40" s="249">
        <f t="shared" si="3"/>
        <v>0</v>
      </c>
      <c r="F40" s="248">
        <v>34800</v>
      </c>
      <c r="G40" s="249">
        <f t="shared" si="4"/>
        <v>25200</v>
      </c>
    </row>
    <row r="41" spans="1:7" x14ac:dyDescent="0.25">
      <c r="A41" s="239">
        <f t="shared" si="2"/>
        <v>38</v>
      </c>
      <c r="B41" s="250" t="s">
        <v>641</v>
      </c>
      <c r="C41" s="250" t="s">
        <v>415</v>
      </c>
      <c r="D41" s="248">
        <v>60000</v>
      </c>
      <c r="E41" s="249">
        <f t="shared" si="3"/>
        <v>0</v>
      </c>
      <c r="F41" s="248">
        <v>34800</v>
      </c>
      <c r="G41" s="249">
        <f t="shared" si="4"/>
        <v>25200</v>
      </c>
    </row>
    <row r="42" spans="1:7" x14ac:dyDescent="0.25">
      <c r="A42" s="239">
        <f t="shared" si="2"/>
        <v>39</v>
      </c>
      <c r="B42" s="250" t="s">
        <v>643</v>
      </c>
      <c r="C42" s="250" t="s">
        <v>415</v>
      </c>
      <c r="D42" s="248">
        <v>60000</v>
      </c>
      <c r="E42" s="249">
        <f t="shared" si="3"/>
        <v>0</v>
      </c>
      <c r="F42" s="248">
        <v>34800</v>
      </c>
      <c r="G42" s="249">
        <f t="shared" si="4"/>
        <v>25200</v>
      </c>
    </row>
    <row r="43" spans="1:7" x14ac:dyDescent="0.25">
      <c r="A43" s="239">
        <f t="shared" si="2"/>
        <v>40</v>
      </c>
      <c r="B43" s="250" t="s">
        <v>645</v>
      </c>
      <c r="C43" s="250" t="s">
        <v>415</v>
      </c>
      <c r="D43" s="248">
        <v>60000</v>
      </c>
      <c r="E43" s="249">
        <f t="shared" si="3"/>
        <v>0</v>
      </c>
      <c r="F43" s="248">
        <v>34800</v>
      </c>
      <c r="G43" s="249">
        <f t="shared" si="4"/>
        <v>25200</v>
      </c>
    </row>
    <row r="44" spans="1:7" x14ac:dyDescent="0.25">
      <c r="A44" s="239">
        <f t="shared" si="2"/>
        <v>41</v>
      </c>
      <c r="B44" s="250" t="s">
        <v>591</v>
      </c>
      <c r="C44" s="250" t="s">
        <v>454</v>
      </c>
      <c r="D44" s="248">
        <v>60000</v>
      </c>
      <c r="E44" s="249">
        <f t="shared" si="3"/>
        <v>0</v>
      </c>
      <c r="F44" s="248">
        <v>26000</v>
      </c>
      <c r="G44" s="249">
        <f t="shared" si="4"/>
        <v>34000</v>
      </c>
    </row>
    <row r="45" spans="1:7" x14ac:dyDescent="0.25">
      <c r="A45" s="239">
        <f t="shared" si="2"/>
        <v>42</v>
      </c>
      <c r="B45" s="250" t="s">
        <v>593</v>
      </c>
      <c r="C45" s="250" t="s">
        <v>454</v>
      </c>
      <c r="D45" s="248">
        <v>60000</v>
      </c>
      <c r="E45" s="249">
        <f t="shared" si="3"/>
        <v>0</v>
      </c>
      <c r="F45" s="248">
        <v>26000</v>
      </c>
      <c r="G45" s="249">
        <f t="shared" si="4"/>
        <v>34000</v>
      </c>
    </row>
    <row r="46" spans="1:7" x14ac:dyDescent="0.25">
      <c r="A46" s="239">
        <f t="shared" si="2"/>
        <v>43</v>
      </c>
      <c r="B46" s="250" t="s">
        <v>594</v>
      </c>
      <c r="C46" s="250" t="s">
        <v>454</v>
      </c>
      <c r="D46" s="248">
        <v>60000</v>
      </c>
      <c r="E46" s="249">
        <f t="shared" si="3"/>
        <v>0</v>
      </c>
      <c r="F46" s="248">
        <v>26000</v>
      </c>
      <c r="G46" s="249">
        <f t="shared" si="4"/>
        <v>34000</v>
      </c>
    </row>
    <row r="47" spans="1:7" x14ac:dyDescent="0.25">
      <c r="A47" s="239">
        <f t="shared" si="2"/>
        <v>44</v>
      </c>
      <c r="B47" s="250" t="s">
        <v>595</v>
      </c>
      <c r="C47" s="250" t="s">
        <v>454</v>
      </c>
      <c r="D47" s="248">
        <v>30000</v>
      </c>
      <c r="E47" s="249">
        <f t="shared" si="3"/>
        <v>-30000</v>
      </c>
      <c r="F47" s="248">
        <v>26000</v>
      </c>
      <c r="G47" s="249">
        <f t="shared" si="4"/>
        <v>4000</v>
      </c>
    </row>
    <row r="48" spans="1:7" x14ac:dyDescent="0.25">
      <c r="A48" s="239">
        <f t="shared" si="2"/>
        <v>45</v>
      </c>
      <c r="B48" s="250" t="s">
        <v>597</v>
      </c>
      <c r="C48" s="250" t="s">
        <v>454</v>
      </c>
      <c r="D48" s="248">
        <v>60000</v>
      </c>
      <c r="E48" s="249">
        <f t="shared" si="3"/>
        <v>0</v>
      </c>
      <c r="F48" s="248">
        <v>26000</v>
      </c>
      <c r="G48" s="249">
        <f t="shared" si="4"/>
        <v>34000</v>
      </c>
    </row>
    <row r="49" spans="1:13" x14ac:dyDescent="0.25">
      <c r="A49" s="239">
        <f t="shared" si="2"/>
        <v>46</v>
      </c>
      <c r="B49" s="250" t="s">
        <v>598</v>
      </c>
      <c r="C49" s="250" t="s">
        <v>454</v>
      </c>
      <c r="D49" s="248">
        <v>40000</v>
      </c>
      <c r="E49" s="249">
        <f t="shared" si="3"/>
        <v>-20000</v>
      </c>
      <c r="F49" s="248">
        <v>26000</v>
      </c>
      <c r="G49" s="249">
        <f t="shared" si="4"/>
        <v>14000</v>
      </c>
    </row>
    <row r="50" spans="1:13" x14ac:dyDescent="0.25">
      <c r="A50" s="239">
        <f t="shared" si="2"/>
        <v>47</v>
      </c>
      <c r="B50" s="250" t="s">
        <v>599</v>
      </c>
      <c r="C50" s="250" t="s">
        <v>454</v>
      </c>
      <c r="D50" s="248">
        <v>60000</v>
      </c>
      <c r="E50" s="249">
        <f t="shared" si="3"/>
        <v>0</v>
      </c>
      <c r="F50" s="248">
        <v>26000</v>
      </c>
      <c r="G50" s="249">
        <f t="shared" si="4"/>
        <v>34000</v>
      </c>
      <c r="M50" s="239" t="s">
        <v>653</v>
      </c>
    </row>
    <row r="51" spans="1:13" x14ac:dyDescent="0.25">
      <c r="A51" s="239">
        <f t="shared" si="2"/>
        <v>48</v>
      </c>
      <c r="B51" s="250" t="s">
        <v>600</v>
      </c>
      <c r="C51" s="250" t="s">
        <v>454</v>
      </c>
      <c r="D51" s="248">
        <v>60000</v>
      </c>
      <c r="E51" s="249">
        <f t="shared" si="3"/>
        <v>0</v>
      </c>
      <c r="F51" s="248">
        <v>26000</v>
      </c>
      <c r="G51" s="249">
        <f t="shared" si="4"/>
        <v>34000</v>
      </c>
    </row>
    <row r="52" spans="1:13" x14ac:dyDescent="0.25">
      <c r="A52" s="239">
        <f t="shared" si="2"/>
        <v>49</v>
      </c>
      <c r="B52" s="250" t="s">
        <v>601</v>
      </c>
      <c r="C52" s="250" t="s">
        <v>454</v>
      </c>
      <c r="D52" s="248">
        <v>60000</v>
      </c>
      <c r="E52" s="249">
        <f t="shared" si="3"/>
        <v>0</v>
      </c>
      <c r="F52" s="248">
        <v>26000</v>
      </c>
      <c r="G52" s="249">
        <f t="shared" si="4"/>
        <v>34000</v>
      </c>
    </row>
    <row r="53" spans="1:13" x14ac:dyDescent="0.25">
      <c r="A53" s="239">
        <f t="shared" si="2"/>
        <v>50</v>
      </c>
      <c r="B53" s="250" t="s">
        <v>602</v>
      </c>
      <c r="C53" s="250" t="s">
        <v>454</v>
      </c>
      <c r="D53" s="248">
        <v>60000</v>
      </c>
      <c r="E53" s="249">
        <f t="shared" si="3"/>
        <v>0</v>
      </c>
      <c r="F53" s="248">
        <v>26000</v>
      </c>
      <c r="G53" s="249">
        <f t="shared" si="4"/>
        <v>34000</v>
      </c>
    </row>
    <row r="54" spans="1:13" x14ac:dyDescent="0.25">
      <c r="A54" s="239">
        <f t="shared" si="2"/>
        <v>51</v>
      </c>
      <c r="B54" s="250" t="s">
        <v>603</v>
      </c>
      <c r="C54" s="250" t="s">
        <v>454</v>
      </c>
      <c r="D54" s="248">
        <v>60000</v>
      </c>
      <c r="E54" s="249">
        <f t="shared" si="3"/>
        <v>0</v>
      </c>
      <c r="F54" s="248">
        <v>26000</v>
      </c>
      <c r="G54" s="249">
        <f t="shared" si="4"/>
        <v>34000</v>
      </c>
    </row>
    <row r="55" spans="1:13" x14ac:dyDescent="0.25">
      <c r="A55" s="239">
        <f t="shared" si="2"/>
        <v>52</v>
      </c>
      <c r="B55" s="250" t="s">
        <v>608</v>
      </c>
      <c r="C55" s="250" t="s">
        <v>454</v>
      </c>
      <c r="D55" s="248">
        <v>60000</v>
      </c>
      <c r="E55" s="249">
        <f t="shared" si="3"/>
        <v>0</v>
      </c>
      <c r="F55" s="248">
        <v>26000</v>
      </c>
      <c r="G55" s="249">
        <f t="shared" si="4"/>
        <v>34000</v>
      </c>
    </row>
    <row r="56" spans="1:13" x14ac:dyDescent="0.25">
      <c r="A56" s="239">
        <f t="shared" si="2"/>
        <v>53</v>
      </c>
      <c r="B56" s="250" t="s">
        <v>621</v>
      </c>
      <c r="C56" s="250" t="s">
        <v>454</v>
      </c>
      <c r="D56" s="248">
        <v>60000</v>
      </c>
      <c r="E56" s="249">
        <f t="shared" si="3"/>
        <v>0</v>
      </c>
      <c r="F56" s="248">
        <v>26000</v>
      </c>
      <c r="G56" s="249">
        <f t="shared" si="4"/>
        <v>34000</v>
      </c>
    </row>
    <row r="57" spans="1:13" x14ac:dyDescent="0.25">
      <c r="A57" s="239">
        <f t="shared" si="2"/>
        <v>54</v>
      </c>
      <c r="B57" s="250" t="s">
        <v>634</v>
      </c>
      <c r="C57" s="250" t="s">
        <v>454</v>
      </c>
      <c r="D57" s="248">
        <v>60000</v>
      </c>
      <c r="E57" s="249">
        <f t="shared" si="3"/>
        <v>0</v>
      </c>
      <c r="F57" s="248">
        <v>26000</v>
      </c>
      <c r="G57" s="249">
        <f t="shared" si="4"/>
        <v>34000</v>
      </c>
    </row>
    <row r="58" spans="1:13" x14ac:dyDescent="0.25">
      <c r="A58" s="239">
        <f t="shared" si="2"/>
        <v>55</v>
      </c>
      <c r="B58" s="250" t="s">
        <v>633</v>
      </c>
      <c r="C58" s="250"/>
      <c r="D58" s="248">
        <v>60000</v>
      </c>
      <c r="E58" s="249">
        <f t="shared" si="3"/>
        <v>0</v>
      </c>
      <c r="F58" s="248">
        <v>34800</v>
      </c>
      <c r="G58" s="249">
        <f t="shared" si="4"/>
        <v>25200</v>
      </c>
    </row>
    <row r="59" spans="1:13" x14ac:dyDescent="0.25">
      <c r="A59" s="239">
        <f t="shared" si="2"/>
        <v>56</v>
      </c>
      <c r="B59" s="250" t="s">
        <v>633</v>
      </c>
      <c r="C59" s="250"/>
      <c r="D59" s="248">
        <v>60000</v>
      </c>
      <c r="E59" s="249">
        <f t="shared" si="3"/>
        <v>0</v>
      </c>
      <c r="F59" s="248">
        <v>34800</v>
      </c>
      <c r="G59" s="249">
        <f t="shared" si="4"/>
        <v>25200</v>
      </c>
    </row>
    <row r="60" spans="1:13" x14ac:dyDescent="0.25">
      <c r="A60" s="239">
        <f t="shared" si="2"/>
        <v>57</v>
      </c>
      <c r="B60" s="250" t="s">
        <v>652</v>
      </c>
      <c r="C60" s="250"/>
      <c r="D60" s="248">
        <v>60000</v>
      </c>
      <c r="E60" s="249">
        <f t="shared" si="3"/>
        <v>0</v>
      </c>
      <c r="F60" s="248">
        <v>34800</v>
      </c>
      <c r="G60" s="249">
        <f t="shared" si="4"/>
        <v>25200</v>
      </c>
    </row>
    <row r="61" spans="1:13" x14ac:dyDescent="0.25">
      <c r="B61" s="250" t="s">
        <v>697</v>
      </c>
      <c r="C61" s="250" t="s">
        <v>327</v>
      </c>
      <c r="D61" s="248">
        <v>60000</v>
      </c>
      <c r="E61" s="249">
        <f t="shared" si="3"/>
        <v>0</v>
      </c>
      <c r="F61" s="248"/>
      <c r="G61" s="249"/>
    </row>
    <row r="62" spans="1:13" x14ac:dyDescent="0.25">
      <c r="B62" s="250" t="s">
        <v>698</v>
      </c>
      <c r="C62" s="250"/>
      <c r="D62" s="248">
        <v>60000</v>
      </c>
      <c r="E62" s="249">
        <f t="shared" si="3"/>
        <v>0</v>
      </c>
      <c r="F62" s="248"/>
      <c r="G62" s="249"/>
    </row>
    <row r="63" spans="1:13" x14ac:dyDescent="0.25">
      <c r="B63" s="250" t="s">
        <v>699</v>
      </c>
      <c r="C63" s="250" t="s">
        <v>367</v>
      </c>
      <c r="D63" s="248">
        <v>60000</v>
      </c>
      <c r="E63" s="249"/>
      <c r="F63" s="248"/>
      <c r="G63" s="249"/>
    </row>
    <row r="64" spans="1:13" x14ac:dyDescent="0.25">
      <c r="B64" s="250" t="s">
        <v>700</v>
      </c>
      <c r="C64" s="250" t="s">
        <v>701</v>
      </c>
      <c r="D64" s="248">
        <v>60000</v>
      </c>
      <c r="E64" s="249"/>
      <c r="F64" s="248"/>
      <c r="G64" s="249"/>
    </row>
    <row r="65" spans="2:7" x14ac:dyDescent="0.25">
      <c r="B65" s="250" t="s">
        <v>702</v>
      </c>
      <c r="C65" s="250" t="s">
        <v>327</v>
      </c>
      <c r="D65" s="248">
        <v>60000</v>
      </c>
      <c r="E65" s="249"/>
      <c r="F65" s="248"/>
      <c r="G65" s="249"/>
    </row>
    <row r="66" spans="2:7" x14ac:dyDescent="0.25">
      <c r="B66" s="250" t="s">
        <v>703</v>
      </c>
      <c r="C66" s="250" t="s">
        <v>454</v>
      </c>
      <c r="D66" s="248">
        <v>60000</v>
      </c>
      <c r="E66" s="249"/>
      <c r="F66" s="248"/>
      <c r="G66" s="249"/>
    </row>
    <row r="67" spans="2:7" x14ac:dyDescent="0.25">
      <c r="B67" s="250"/>
      <c r="C67" s="250"/>
      <c r="D67" s="248"/>
      <c r="E67" s="249"/>
      <c r="F67" s="248"/>
      <c r="G67" s="249"/>
    </row>
    <row r="68" spans="2:7" x14ac:dyDescent="0.25">
      <c r="B68" s="250"/>
      <c r="C68" s="250"/>
      <c r="D68" s="248"/>
      <c r="E68" s="249"/>
      <c r="F68" s="248"/>
      <c r="G68" s="249"/>
    </row>
    <row r="69" spans="2:7" x14ac:dyDescent="0.25">
      <c r="B69" s="250"/>
      <c r="C69" s="250"/>
      <c r="D69" s="248"/>
      <c r="E69" s="249"/>
      <c r="F69" s="248"/>
      <c r="G69" s="249"/>
    </row>
    <row r="70" spans="2:7" x14ac:dyDescent="0.25">
      <c r="B70" s="250"/>
      <c r="C70" s="250"/>
      <c r="D70" s="248"/>
      <c r="E70" s="249"/>
      <c r="F70" s="248"/>
      <c r="G70" s="249"/>
    </row>
    <row r="71" spans="2:7" x14ac:dyDescent="0.25">
      <c r="B71" s="250"/>
      <c r="C71" s="250"/>
      <c r="D71" s="248"/>
      <c r="E71" s="249"/>
      <c r="F71" s="248"/>
      <c r="G71" s="249"/>
    </row>
    <row r="72" spans="2:7" x14ac:dyDescent="0.25">
      <c r="B72" s="250"/>
      <c r="C72" s="250"/>
      <c r="D72" s="248"/>
      <c r="E72" s="249"/>
      <c r="F72" s="248"/>
      <c r="G72" s="249"/>
    </row>
    <row r="73" spans="2:7" x14ac:dyDescent="0.25">
      <c r="B73" s="250"/>
      <c r="C73" s="250"/>
      <c r="D73" s="248"/>
      <c r="E73" s="249"/>
      <c r="F73" s="248"/>
      <c r="G73" s="249"/>
    </row>
    <row r="74" spans="2:7" x14ac:dyDescent="0.25">
      <c r="B74" s="250"/>
      <c r="C74" s="250"/>
      <c r="D74" s="248"/>
      <c r="E74" s="249"/>
      <c r="F74" s="248"/>
      <c r="G74" s="249"/>
    </row>
    <row r="75" spans="2:7" x14ac:dyDescent="0.25">
      <c r="B75" s="250"/>
      <c r="C75" s="250"/>
      <c r="D75" s="248"/>
      <c r="E75" s="249"/>
      <c r="F75" s="248"/>
      <c r="G75" s="249"/>
    </row>
    <row r="76" spans="2:7" x14ac:dyDescent="0.25">
      <c r="B76" s="250"/>
      <c r="C76" s="250"/>
      <c r="D76" s="248"/>
      <c r="E76" s="249"/>
      <c r="F76" s="248"/>
      <c r="G76" s="249"/>
    </row>
    <row r="77" spans="2:7" x14ac:dyDescent="0.25">
      <c r="B77" s="250"/>
      <c r="C77" s="250"/>
      <c r="D77" s="248"/>
      <c r="E77" s="249"/>
      <c r="F77" s="248"/>
      <c r="G77" s="249"/>
    </row>
    <row r="78" spans="2:7" x14ac:dyDescent="0.25">
      <c r="B78" s="250"/>
      <c r="C78" s="250"/>
      <c r="D78" s="248"/>
      <c r="E78" s="249"/>
      <c r="F78" s="248"/>
      <c r="G78" s="249"/>
    </row>
    <row r="79" spans="2:7" x14ac:dyDescent="0.25">
      <c r="B79" s="250"/>
      <c r="C79" s="250"/>
      <c r="D79" s="248"/>
      <c r="E79" s="249"/>
      <c r="F79" s="248"/>
      <c r="G79" s="249"/>
    </row>
    <row r="80" spans="2:7" x14ac:dyDescent="0.25">
      <c r="B80" s="250"/>
      <c r="C80" s="250"/>
      <c r="D80" s="248"/>
      <c r="E80" s="249"/>
      <c r="F80" s="248"/>
      <c r="G80" s="249"/>
    </row>
    <row r="81" spans="2:7" x14ac:dyDescent="0.25">
      <c r="B81" s="250"/>
      <c r="C81" s="250"/>
      <c r="D81" s="248"/>
      <c r="E81" s="249"/>
      <c r="F81" s="248"/>
      <c r="G81" s="249"/>
    </row>
    <row r="82" spans="2:7" x14ac:dyDescent="0.25">
      <c r="B82" s="250"/>
      <c r="C82" s="250"/>
      <c r="D82" s="248"/>
      <c r="E82" s="249"/>
      <c r="F82" s="248"/>
      <c r="G82" s="249"/>
    </row>
    <row r="83" spans="2:7" x14ac:dyDescent="0.25">
      <c r="B83" s="250"/>
      <c r="C83" s="250"/>
      <c r="D83" s="248"/>
      <c r="E83" s="249"/>
      <c r="F83" s="248"/>
      <c r="G83" s="249"/>
    </row>
    <row r="84" spans="2:7" x14ac:dyDescent="0.25">
      <c r="B84" s="250"/>
      <c r="C84" s="250"/>
      <c r="D84" s="248"/>
      <c r="E84" s="249"/>
      <c r="F84" s="248"/>
      <c r="G84" s="249"/>
    </row>
    <row r="85" spans="2:7" x14ac:dyDescent="0.25">
      <c r="B85" s="250"/>
      <c r="C85" s="250"/>
      <c r="D85" s="248"/>
      <c r="E85" s="249"/>
      <c r="F85" s="248"/>
      <c r="G85" s="249"/>
    </row>
    <row r="86" spans="2:7" x14ac:dyDescent="0.25">
      <c r="B86" s="250"/>
      <c r="C86" s="250"/>
      <c r="D86" s="248"/>
      <c r="E86" s="249"/>
      <c r="F86" s="248"/>
      <c r="G86" s="249"/>
    </row>
    <row r="87" spans="2:7" x14ac:dyDescent="0.25">
      <c r="B87" s="250"/>
      <c r="C87" s="250"/>
      <c r="D87" s="248"/>
      <c r="E87" s="249"/>
      <c r="F87" s="248"/>
      <c r="G87" s="249"/>
    </row>
    <row r="88" spans="2:7" x14ac:dyDescent="0.25">
      <c r="B88" s="250"/>
      <c r="C88" s="250"/>
      <c r="D88" s="248"/>
      <c r="E88" s="249"/>
      <c r="F88" s="248"/>
      <c r="G88" s="249"/>
    </row>
    <row r="89" spans="2:7" x14ac:dyDescent="0.25">
      <c r="B89" s="250"/>
      <c r="C89" s="250"/>
      <c r="D89" s="248"/>
      <c r="E89" s="249"/>
      <c r="F89" s="248"/>
      <c r="G89" s="249"/>
    </row>
    <row r="90" spans="2:7" x14ac:dyDescent="0.25">
      <c r="B90" s="250"/>
      <c r="C90" s="250"/>
      <c r="D90" s="248"/>
      <c r="E90" s="249"/>
      <c r="F90" s="248"/>
      <c r="G90" s="249"/>
    </row>
    <row r="91" spans="2:7" x14ac:dyDescent="0.25">
      <c r="B91" s="250"/>
      <c r="C91" s="250"/>
      <c r="D91" s="248"/>
      <c r="E91" s="249"/>
      <c r="F91" s="248"/>
      <c r="G91" s="249"/>
    </row>
    <row r="92" spans="2:7" x14ac:dyDescent="0.25">
      <c r="B92" s="250"/>
      <c r="C92" s="250"/>
      <c r="D92" s="248"/>
      <c r="E92" s="249"/>
      <c r="F92" s="248"/>
      <c r="G92" s="249"/>
    </row>
    <row r="93" spans="2:7" x14ac:dyDescent="0.25">
      <c r="B93" s="250"/>
      <c r="C93" s="250"/>
      <c r="D93" s="248"/>
      <c r="E93" s="249"/>
      <c r="F93" s="248"/>
      <c r="G93" s="249"/>
    </row>
    <row r="94" spans="2:7" x14ac:dyDescent="0.25">
      <c r="B94" s="250"/>
      <c r="C94" s="250"/>
      <c r="D94" s="248"/>
      <c r="E94" s="249"/>
      <c r="F94" s="248"/>
      <c r="G94" s="249"/>
    </row>
    <row r="95" spans="2:7" x14ac:dyDescent="0.25">
      <c r="B95" s="250"/>
      <c r="C95" s="250"/>
      <c r="D95" s="248"/>
      <c r="E95" s="249"/>
      <c r="F95" s="248"/>
      <c r="G95" s="249"/>
    </row>
    <row r="96" spans="2:7" x14ac:dyDescent="0.25">
      <c r="B96" s="250"/>
      <c r="C96" s="250"/>
      <c r="D96" s="248"/>
      <c r="E96" s="249"/>
      <c r="F96" s="248"/>
      <c r="G96" s="249"/>
    </row>
    <row r="97" spans="2:10" x14ac:dyDescent="0.25">
      <c r="B97" s="250"/>
      <c r="C97" s="250"/>
      <c r="D97" s="248"/>
      <c r="E97" s="249"/>
      <c r="F97" s="248"/>
      <c r="G97" s="249"/>
    </row>
    <row r="98" spans="2:10" x14ac:dyDescent="0.25">
      <c r="B98" s="250"/>
      <c r="C98" s="250"/>
      <c r="D98" s="248"/>
      <c r="E98" s="249"/>
      <c r="F98" s="248"/>
      <c r="G98" s="249"/>
    </row>
    <row r="99" spans="2:10" x14ac:dyDescent="0.25">
      <c r="B99" s="250"/>
      <c r="C99" s="250"/>
      <c r="D99" s="248"/>
      <c r="E99" s="249"/>
      <c r="F99" s="248"/>
      <c r="G99" s="249"/>
    </row>
    <row r="100" spans="2:10" x14ac:dyDescent="0.25">
      <c r="B100" s="250"/>
      <c r="C100" s="250"/>
      <c r="D100" s="248"/>
      <c r="E100" s="250"/>
      <c r="F100" s="248"/>
      <c r="G100" s="250"/>
    </row>
    <row r="101" spans="2:10" x14ac:dyDescent="0.25">
      <c r="B101" s="250"/>
      <c r="C101" s="250"/>
      <c r="D101" s="248"/>
      <c r="E101" s="250"/>
      <c r="F101" s="248"/>
      <c r="G101" s="250"/>
    </row>
    <row r="102" spans="2:10" x14ac:dyDescent="0.25">
      <c r="B102" s="250"/>
      <c r="C102" s="250"/>
      <c r="D102" s="248"/>
      <c r="E102" s="250"/>
      <c r="F102" s="248"/>
      <c r="G102" s="250"/>
    </row>
    <row r="103" spans="2:10" x14ac:dyDescent="0.25">
      <c r="B103" s="250"/>
      <c r="C103" s="250"/>
      <c r="D103" s="248"/>
      <c r="E103" s="250"/>
      <c r="F103" s="248"/>
      <c r="G103" s="250"/>
    </row>
    <row r="104" spans="2:10" x14ac:dyDescent="0.25">
      <c r="B104" s="250"/>
      <c r="C104" s="250"/>
      <c r="D104" s="248"/>
      <c r="E104" s="250"/>
      <c r="F104" s="248"/>
      <c r="G104" s="250"/>
    </row>
    <row r="105" spans="2:10" x14ac:dyDescent="0.25">
      <c r="B105" s="250"/>
      <c r="C105" s="250"/>
      <c r="D105" s="248"/>
      <c r="E105" s="250"/>
      <c r="F105" s="248"/>
      <c r="G105" s="250"/>
    </row>
    <row r="106" spans="2:10" x14ac:dyDescent="0.25">
      <c r="B106" s="250"/>
      <c r="C106" s="250"/>
      <c r="D106" s="248"/>
      <c r="E106" s="250"/>
      <c r="F106" s="248"/>
      <c r="G106" s="250"/>
    </row>
    <row r="107" spans="2:10" x14ac:dyDescent="0.25">
      <c r="B107" s="250"/>
      <c r="C107" s="250"/>
      <c r="D107" s="248"/>
      <c r="E107" s="250"/>
      <c r="F107" s="248"/>
      <c r="G107" s="250"/>
    </row>
    <row r="108" spans="2:10" x14ac:dyDescent="0.25">
      <c r="B108" s="250"/>
      <c r="C108" s="250"/>
      <c r="D108" s="248"/>
      <c r="E108" s="250"/>
      <c r="F108" s="248"/>
      <c r="G108" s="250"/>
    </row>
    <row r="109" spans="2:10" s="247" customFormat="1" x14ac:dyDescent="0.25">
      <c r="B109" s="242"/>
      <c r="C109" s="242"/>
      <c r="D109" s="244">
        <f>SUM(D4:D108)</f>
        <v>3650000</v>
      </c>
      <c r="E109" s="255">
        <f>SUM(E4:E108)</f>
        <v>-130000</v>
      </c>
      <c r="F109" s="253">
        <f>SUM(F4:F108)</f>
        <v>1860400</v>
      </c>
      <c r="G109" s="244">
        <f>SUM(G4:G108)</f>
        <v>1429600</v>
      </c>
      <c r="I109" s="246"/>
      <c r="J109" s="246"/>
    </row>
    <row r="111" spans="2:10" x14ac:dyDescent="0.25">
      <c r="D111" s="243" t="s">
        <v>581</v>
      </c>
      <c r="E111" s="243">
        <f>300000</f>
        <v>300000</v>
      </c>
    </row>
    <row r="112" spans="2:10" x14ac:dyDescent="0.25">
      <c r="E112" s="243">
        <v>300000</v>
      </c>
    </row>
    <row r="113" spans="5:5" x14ac:dyDescent="0.25">
      <c r="E113" s="243">
        <v>800000</v>
      </c>
    </row>
    <row r="114" spans="5:5" x14ac:dyDescent="0.25">
      <c r="E114" s="243">
        <v>294400</v>
      </c>
    </row>
    <row r="115" spans="5:5" x14ac:dyDescent="0.25">
      <c r="E115" s="243">
        <v>60000</v>
      </c>
    </row>
    <row r="116" spans="5:5" x14ac:dyDescent="0.25">
      <c r="E116" s="243"/>
    </row>
    <row r="117" spans="5:5" x14ac:dyDescent="0.25">
      <c r="E117" s="245">
        <f>SUM(E111:E116)</f>
        <v>1754400</v>
      </c>
    </row>
    <row r="119" spans="5:5" x14ac:dyDescent="0.25">
      <c r="E119" s="245">
        <f>D109-E117</f>
        <v>1895600</v>
      </c>
    </row>
    <row r="155" spans="4:6" x14ac:dyDescent="0.25">
      <c r="D155" s="244">
        <f>SUM(D4:D154)</f>
        <v>7300000</v>
      </c>
      <c r="E155" s="242">
        <f>SUM(E4:E154)</f>
        <v>5144400</v>
      </c>
      <c r="F155" s="244">
        <f>SUM(F4:F154)</f>
        <v>3720800</v>
      </c>
    </row>
  </sheetData>
  <sortState xmlns:xlrd2="http://schemas.microsoft.com/office/spreadsheetml/2017/richdata2" ref="B4:G59">
    <sortCondition ref="C4:C59"/>
  </sortState>
  <mergeCells count="1">
    <mergeCell ref="I3:K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332B-6DD6-478B-B8EB-14CE616E0FF1}">
  <dimension ref="A1:O119"/>
  <sheetViews>
    <sheetView topLeftCell="A6" workbookViewId="0">
      <selection activeCell="K20" sqref="K20"/>
    </sheetView>
  </sheetViews>
  <sheetFormatPr defaultRowHeight="13.5" x14ac:dyDescent="0.15"/>
  <cols>
    <col min="1" max="1" width="4.25" customWidth="1"/>
    <col min="2" max="2" width="30.75" customWidth="1"/>
    <col min="3" max="3" width="7.875" customWidth="1"/>
    <col min="4" max="4" width="12.75" customWidth="1"/>
    <col min="9" max="9" width="16" customWidth="1"/>
    <col min="10" max="10" width="15.375" customWidth="1"/>
    <col min="11" max="11" width="12.75" customWidth="1"/>
  </cols>
  <sheetData>
    <row r="1" spans="1:11" ht="15" x14ac:dyDescent="0.25">
      <c r="A1" s="239"/>
      <c r="B1" s="239"/>
      <c r="C1" s="239"/>
      <c r="D1" s="243"/>
      <c r="E1" s="239"/>
      <c r="F1" s="243"/>
      <c r="G1" s="239"/>
      <c r="H1" s="239"/>
      <c r="I1" s="243" t="s">
        <v>651</v>
      </c>
      <c r="J1" s="243" t="s">
        <v>709</v>
      </c>
      <c r="K1" s="254">
        <v>20000</v>
      </c>
    </row>
    <row r="2" spans="1:11" ht="15" x14ac:dyDescent="0.25">
      <c r="A2" s="239"/>
      <c r="B2" s="239" t="s">
        <v>574</v>
      </c>
      <c r="C2" s="239"/>
      <c r="D2" s="243"/>
      <c r="E2" s="239"/>
      <c r="F2" s="243"/>
      <c r="G2" s="239"/>
      <c r="H2" s="239"/>
      <c r="I2" s="243"/>
      <c r="J2" s="243"/>
      <c r="K2" s="239"/>
    </row>
    <row r="3" spans="1:11" ht="14.25" x14ac:dyDescent="0.2">
      <c r="A3" s="241"/>
      <c r="B3" s="251" t="s">
        <v>575</v>
      </c>
      <c r="C3" s="251" t="s">
        <v>576</v>
      </c>
      <c r="D3" s="252" t="s">
        <v>577</v>
      </c>
      <c r="E3" s="251" t="s">
        <v>578</v>
      </c>
      <c r="F3" s="252" t="s">
        <v>649</v>
      </c>
      <c r="G3" s="251" t="s">
        <v>650</v>
      </c>
      <c r="H3" s="241"/>
      <c r="I3" s="331" t="s">
        <v>647</v>
      </c>
      <c r="J3" s="331"/>
      <c r="K3" s="331"/>
    </row>
    <row r="4" spans="1:11" ht="15" x14ac:dyDescent="0.25">
      <c r="A4" s="239">
        <v>1</v>
      </c>
      <c r="B4" s="250" t="s">
        <v>654</v>
      </c>
      <c r="C4" s="250" t="s">
        <v>367</v>
      </c>
      <c r="D4" s="248">
        <v>20000</v>
      </c>
      <c r="E4" s="249"/>
      <c r="F4" s="248"/>
      <c r="G4" s="249"/>
      <c r="H4" s="239"/>
      <c r="I4" s="248" t="s">
        <v>516</v>
      </c>
      <c r="J4" s="248"/>
      <c r="K4" s="258">
        <f>D109</f>
        <v>1740000</v>
      </c>
    </row>
    <row r="5" spans="1:11" ht="15" x14ac:dyDescent="0.25">
      <c r="A5" s="239">
        <f>A4+1</f>
        <v>2</v>
      </c>
      <c r="B5" s="250" t="s">
        <v>655</v>
      </c>
      <c r="C5" s="250" t="s">
        <v>454</v>
      </c>
      <c r="D5" s="248">
        <v>20000</v>
      </c>
      <c r="E5" s="249"/>
      <c r="F5" s="248"/>
      <c r="G5" s="249"/>
      <c r="H5" s="239"/>
      <c r="I5" s="332" t="s">
        <v>581</v>
      </c>
      <c r="J5" s="333"/>
      <c r="K5" s="250"/>
    </row>
    <row r="6" spans="1:11" ht="15" x14ac:dyDescent="0.25">
      <c r="A6" s="239">
        <f t="shared" ref="A6:A69" si="0">A5+1</f>
        <v>3</v>
      </c>
      <c r="B6" s="250" t="s">
        <v>596</v>
      </c>
      <c r="C6" s="250" t="s">
        <v>367</v>
      </c>
      <c r="D6" s="248">
        <v>20000</v>
      </c>
      <c r="E6" s="249"/>
      <c r="F6" s="248"/>
      <c r="G6" s="249"/>
      <c r="H6" s="239"/>
      <c r="I6" s="248" t="s">
        <v>710</v>
      </c>
      <c r="J6" s="248">
        <v>700000</v>
      </c>
      <c r="K6" s="250"/>
    </row>
    <row r="7" spans="1:11" ht="15" x14ac:dyDescent="0.25">
      <c r="A7" s="239">
        <f t="shared" si="0"/>
        <v>4</v>
      </c>
      <c r="B7" s="250" t="s">
        <v>598</v>
      </c>
      <c r="C7" s="250" t="s">
        <v>454</v>
      </c>
      <c r="D7" s="248">
        <v>20000</v>
      </c>
      <c r="E7" s="249"/>
      <c r="F7" s="248"/>
      <c r="G7" s="249"/>
      <c r="H7" s="239"/>
      <c r="I7" s="248" t="s">
        <v>713</v>
      </c>
      <c r="J7" s="248">
        <v>800000</v>
      </c>
      <c r="K7" s="250"/>
    </row>
    <row r="8" spans="1:11" ht="15" x14ac:dyDescent="0.25">
      <c r="A8" s="239">
        <f t="shared" si="0"/>
        <v>5</v>
      </c>
      <c r="B8" s="250" t="s">
        <v>656</v>
      </c>
      <c r="C8" s="250" t="s">
        <v>141</v>
      </c>
      <c r="D8" s="248">
        <v>20000</v>
      </c>
      <c r="E8" s="249"/>
      <c r="F8" s="248"/>
      <c r="G8" s="249"/>
      <c r="H8" s="239"/>
      <c r="I8" s="248" t="s">
        <v>711</v>
      </c>
      <c r="J8" s="248">
        <v>70000</v>
      </c>
      <c r="K8" s="250"/>
    </row>
    <row r="9" spans="1:11" ht="15" x14ac:dyDescent="0.25">
      <c r="A9" s="239">
        <f t="shared" si="0"/>
        <v>6</v>
      </c>
      <c r="B9" s="250" t="s">
        <v>657</v>
      </c>
      <c r="C9" s="250" t="s">
        <v>141</v>
      </c>
      <c r="D9" s="248">
        <v>20000</v>
      </c>
      <c r="E9" s="249"/>
      <c r="F9" s="248"/>
      <c r="G9" s="249"/>
      <c r="H9" s="239"/>
      <c r="I9" s="248" t="s">
        <v>718</v>
      </c>
      <c r="J9" s="248">
        <v>150000</v>
      </c>
      <c r="K9" s="250"/>
    </row>
    <row r="10" spans="1:11" ht="15" x14ac:dyDescent="0.25">
      <c r="A10" s="239">
        <f t="shared" si="0"/>
        <v>7</v>
      </c>
      <c r="B10" s="250" t="s">
        <v>652</v>
      </c>
      <c r="C10" s="250" t="s">
        <v>367</v>
      </c>
      <c r="D10" s="248">
        <v>20000</v>
      </c>
      <c r="E10" s="249"/>
      <c r="F10" s="248"/>
      <c r="G10" s="249"/>
      <c r="H10" s="239"/>
      <c r="I10" s="248"/>
      <c r="J10" s="248"/>
      <c r="K10" s="250"/>
    </row>
    <row r="11" spans="1:11" ht="15" x14ac:dyDescent="0.25">
      <c r="A11" s="239">
        <f t="shared" si="0"/>
        <v>8</v>
      </c>
      <c r="B11" s="250" t="s">
        <v>605</v>
      </c>
      <c r="C11" s="250" t="s">
        <v>327</v>
      </c>
      <c r="D11" s="248">
        <v>20000</v>
      </c>
      <c r="E11" s="249"/>
      <c r="F11" s="248"/>
      <c r="G11" s="249"/>
      <c r="H11" s="239"/>
      <c r="I11" s="248"/>
      <c r="J11" s="248"/>
      <c r="K11" s="250"/>
    </row>
    <row r="12" spans="1:11" ht="15" x14ac:dyDescent="0.25">
      <c r="A12" s="239">
        <f t="shared" si="0"/>
        <v>9</v>
      </c>
      <c r="B12" s="250" t="s">
        <v>658</v>
      </c>
      <c r="C12" s="250" t="s">
        <v>225</v>
      </c>
      <c r="D12" s="248">
        <v>20000</v>
      </c>
      <c r="E12" s="249"/>
      <c r="F12" s="248"/>
      <c r="G12" s="249"/>
      <c r="H12" s="239"/>
      <c r="I12" s="248"/>
      <c r="J12" s="248"/>
      <c r="K12" s="250"/>
    </row>
    <row r="13" spans="1:11" ht="15" x14ac:dyDescent="0.25">
      <c r="A13" s="239">
        <f t="shared" si="0"/>
        <v>10</v>
      </c>
      <c r="B13" s="250" t="s">
        <v>659</v>
      </c>
      <c r="C13" s="250" t="s">
        <v>265</v>
      </c>
      <c r="D13" s="248">
        <v>20000</v>
      </c>
      <c r="E13" s="249"/>
      <c r="F13" s="248"/>
      <c r="G13" s="249"/>
      <c r="H13" s="239"/>
      <c r="I13" s="248"/>
      <c r="J13" s="248"/>
      <c r="K13" s="250"/>
    </row>
    <row r="14" spans="1:11" ht="15" x14ac:dyDescent="0.25">
      <c r="A14" s="239">
        <f t="shared" si="0"/>
        <v>11</v>
      </c>
      <c r="B14" s="250" t="s">
        <v>660</v>
      </c>
      <c r="C14" s="250" t="s">
        <v>141</v>
      </c>
      <c r="D14" s="248">
        <v>20000</v>
      </c>
      <c r="E14" s="249"/>
      <c r="F14" s="248"/>
      <c r="G14" s="249"/>
      <c r="H14" s="239"/>
      <c r="I14" s="248"/>
      <c r="J14" s="248"/>
      <c r="K14" s="250"/>
    </row>
    <row r="15" spans="1:11" ht="15" x14ac:dyDescent="0.25">
      <c r="A15" s="239">
        <f t="shared" si="0"/>
        <v>12</v>
      </c>
      <c r="B15" s="250" t="s">
        <v>606</v>
      </c>
      <c r="C15" s="250" t="s">
        <v>367</v>
      </c>
      <c r="D15" s="248">
        <v>20000</v>
      </c>
      <c r="E15" s="249"/>
      <c r="F15" s="248"/>
      <c r="G15" s="249"/>
      <c r="H15" s="239"/>
      <c r="I15" s="248"/>
      <c r="J15" s="248"/>
      <c r="K15" s="250"/>
    </row>
    <row r="16" spans="1:11" ht="15" x14ac:dyDescent="0.25">
      <c r="A16" s="239">
        <f t="shared" si="0"/>
        <v>13</v>
      </c>
      <c r="B16" s="250" t="s">
        <v>610</v>
      </c>
      <c r="C16" s="250" t="s">
        <v>327</v>
      </c>
      <c r="D16" s="248">
        <v>20000</v>
      </c>
      <c r="E16" s="249"/>
      <c r="F16" s="248"/>
      <c r="G16" s="249"/>
      <c r="H16" s="239"/>
      <c r="I16" s="248"/>
      <c r="J16" s="248"/>
      <c r="K16" s="250"/>
    </row>
    <row r="17" spans="1:11" ht="15" x14ac:dyDescent="0.25">
      <c r="A17" s="239">
        <f t="shared" si="0"/>
        <v>14</v>
      </c>
      <c r="B17" s="250" t="s">
        <v>611</v>
      </c>
      <c r="C17" s="250" t="s">
        <v>327</v>
      </c>
      <c r="D17" s="248">
        <v>20000</v>
      </c>
      <c r="E17" s="249"/>
      <c r="F17" s="248"/>
      <c r="G17" s="249"/>
      <c r="H17" s="239"/>
      <c r="I17" s="248"/>
      <c r="J17" s="248"/>
      <c r="K17" s="250"/>
    </row>
    <row r="18" spans="1:11" ht="15" x14ac:dyDescent="0.25">
      <c r="A18" s="239">
        <f t="shared" si="0"/>
        <v>15</v>
      </c>
      <c r="B18" s="250" t="s">
        <v>661</v>
      </c>
      <c r="C18" s="250" t="s">
        <v>518</v>
      </c>
      <c r="D18" s="248">
        <v>20000</v>
      </c>
      <c r="E18" s="249"/>
      <c r="F18" s="248"/>
      <c r="G18" s="249"/>
      <c r="H18" s="239"/>
      <c r="I18" s="248"/>
      <c r="J18" s="248"/>
      <c r="K18" s="250"/>
    </row>
    <row r="19" spans="1:11" ht="15" x14ac:dyDescent="0.25">
      <c r="A19" s="239">
        <f t="shared" si="0"/>
        <v>16</v>
      </c>
      <c r="B19" s="250" t="s">
        <v>612</v>
      </c>
      <c r="C19" s="250" t="s">
        <v>367</v>
      </c>
      <c r="D19" s="248">
        <v>20000</v>
      </c>
      <c r="E19" s="249"/>
      <c r="F19" s="248"/>
      <c r="G19" s="249"/>
      <c r="H19" s="239"/>
      <c r="I19" s="248" t="s">
        <v>712</v>
      </c>
      <c r="J19" s="257">
        <f>SUM(J6:J18)</f>
        <v>1720000</v>
      </c>
      <c r="K19" s="250"/>
    </row>
    <row r="20" spans="1:11" ht="15" x14ac:dyDescent="0.25">
      <c r="A20" s="239">
        <f t="shared" si="0"/>
        <v>17</v>
      </c>
      <c r="B20" s="250" t="s">
        <v>662</v>
      </c>
      <c r="C20" s="250" t="s">
        <v>415</v>
      </c>
      <c r="D20" s="248">
        <v>20000</v>
      </c>
      <c r="E20" s="249"/>
      <c r="F20" s="248"/>
      <c r="G20" s="249"/>
      <c r="H20" s="239"/>
      <c r="I20" s="248" t="s">
        <v>648</v>
      </c>
      <c r="J20" s="259"/>
      <c r="K20" s="256">
        <f>K4-J19</f>
        <v>20000</v>
      </c>
    </row>
    <row r="21" spans="1:11" ht="15" x14ac:dyDescent="0.25">
      <c r="A21" s="239">
        <f t="shared" si="0"/>
        <v>18</v>
      </c>
      <c r="B21" s="250" t="s">
        <v>601</v>
      </c>
      <c r="C21" s="250" t="s">
        <v>454</v>
      </c>
      <c r="D21" s="248">
        <v>20000</v>
      </c>
      <c r="E21" s="249"/>
      <c r="F21" s="248"/>
      <c r="G21" s="249"/>
      <c r="H21" s="239"/>
      <c r="I21" s="243"/>
      <c r="J21" s="243"/>
      <c r="K21" s="239"/>
    </row>
    <row r="22" spans="1:11" ht="15" x14ac:dyDescent="0.25">
      <c r="A22" s="239">
        <f t="shared" si="0"/>
        <v>19</v>
      </c>
      <c r="B22" s="250" t="s">
        <v>602</v>
      </c>
      <c r="C22" s="250" t="s">
        <v>454</v>
      </c>
      <c r="D22" s="248">
        <v>20000</v>
      </c>
      <c r="E22" s="249"/>
      <c r="F22" s="248"/>
      <c r="G22" s="249"/>
      <c r="H22" s="239"/>
      <c r="I22" s="243"/>
      <c r="J22" s="243"/>
      <c r="K22" s="239"/>
    </row>
    <row r="23" spans="1:11" ht="15" x14ac:dyDescent="0.25">
      <c r="A23" s="239">
        <f t="shared" si="0"/>
        <v>20</v>
      </c>
      <c r="B23" s="250" t="s">
        <v>635</v>
      </c>
      <c r="C23" s="250" t="s">
        <v>415</v>
      </c>
      <c r="D23" s="248">
        <v>20000</v>
      </c>
      <c r="E23" s="249"/>
      <c r="F23" s="248"/>
      <c r="G23" s="249"/>
      <c r="H23" s="239"/>
      <c r="I23" s="243"/>
      <c r="J23" s="243"/>
      <c r="K23" s="239"/>
    </row>
    <row r="24" spans="1:11" ht="15" x14ac:dyDescent="0.25">
      <c r="A24" s="239">
        <f t="shared" si="0"/>
        <v>21</v>
      </c>
      <c r="B24" s="250" t="s">
        <v>663</v>
      </c>
      <c r="C24" s="250" t="s">
        <v>454</v>
      </c>
      <c r="D24" s="248">
        <v>20000</v>
      </c>
      <c r="E24" s="249"/>
      <c r="F24" s="248"/>
      <c r="G24" s="249"/>
      <c r="H24" s="239"/>
      <c r="I24" s="243"/>
      <c r="J24" s="243"/>
      <c r="K24" s="239"/>
    </row>
    <row r="25" spans="1:11" ht="15" x14ac:dyDescent="0.25">
      <c r="A25" s="239">
        <f t="shared" si="0"/>
        <v>22</v>
      </c>
      <c r="B25" s="250" t="s">
        <v>617</v>
      </c>
      <c r="C25" s="250" t="s">
        <v>415</v>
      </c>
      <c r="D25" s="248">
        <v>20000</v>
      </c>
      <c r="E25" s="249"/>
      <c r="F25" s="248"/>
      <c r="G25" s="249"/>
      <c r="H25" s="239"/>
      <c r="I25" s="243"/>
      <c r="J25" s="243"/>
      <c r="K25" s="239"/>
    </row>
    <row r="26" spans="1:11" ht="15" x14ac:dyDescent="0.25">
      <c r="A26" s="239">
        <f t="shared" si="0"/>
        <v>23</v>
      </c>
      <c r="B26" s="250" t="s">
        <v>630</v>
      </c>
      <c r="C26" s="250" t="s">
        <v>415</v>
      </c>
      <c r="D26" s="248">
        <v>20000</v>
      </c>
      <c r="E26" s="249"/>
      <c r="F26" s="248"/>
      <c r="G26" s="249"/>
      <c r="H26" s="239"/>
      <c r="I26" s="243"/>
      <c r="J26" s="243"/>
      <c r="K26" s="239"/>
    </row>
    <row r="27" spans="1:11" ht="15" x14ac:dyDescent="0.25">
      <c r="A27" s="239">
        <f t="shared" si="0"/>
        <v>24</v>
      </c>
      <c r="B27" s="250" t="s">
        <v>618</v>
      </c>
      <c r="C27" s="250" t="s">
        <v>415</v>
      </c>
      <c r="D27" s="248">
        <v>20000</v>
      </c>
      <c r="E27" s="249"/>
      <c r="F27" s="248"/>
      <c r="G27" s="249"/>
      <c r="H27" s="239"/>
      <c r="I27" s="243"/>
      <c r="J27" s="243"/>
      <c r="K27" s="239"/>
    </row>
    <row r="28" spans="1:11" ht="15" x14ac:dyDescent="0.25">
      <c r="A28" s="239">
        <f t="shared" si="0"/>
        <v>25</v>
      </c>
      <c r="B28" s="250" t="s">
        <v>664</v>
      </c>
      <c r="C28" s="250" t="s">
        <v>141</v>
      </c>
      <c r="D28" s="248">
        <v>20000</v>
      </c>
      <c r="E28" s="249"/>
      <c r="F28" s="248"/>
      <c r="G28" s="249"/>
      <c r="H28" s="239"/>
      <c r="I28" s="243"/>
      <c r="J28" s="243"/>
      <c r="K28" s="239"/>
    </row>
    <row r="29" spans="1:11" ht="15" x14ac:dyDescent="0.25">
      <c r="A29" s="239">
        <f t="shared" si="0"/>
        <v>26</v>
      </c>
      <c r="B29" s="250" t="s">
        <v>665</v>
      </c>
      <c r="C29" s="250" t="s">
        <v>225</v>
      </c>
      <c r="D29" s="248">
        <v>20000</v>
      </c>
      <c r="E29" s="249"/>
      <c r="F29" s="248"/>
      <c r="G29" s="249"/>
      <c r="H29" s="239"/>
      <c r="I29" s="243"/>
      <c r="J29" s="243"/>
      <c r="K29" s="239"/>
    </row>
    <row r="30" spans="1:11" ht="15" x14ac:dyDescent="0.25">
      <c r="A30" s="239">
        <f t="shared" si="0"/>
        <v>27</v>
      </c>
      <c r="B30" s="250" t="s">
        <v>666</v>
      </c>
      <c r="C30" s="250" t="s">
        <v>141</v>
      </c>
      <c r="D30" s="248">
        <v>20000</v>
      </c>
      <c r="E30" s="249"/>
      <c r="F30" s="248"/>
      <c r="G30" s="249"/>
      <c r="H30" s="239"/>
      <c r="I30" s="243"/>
      <c r="J30" s="243"/>
      <c r="K30" s="239"/>
    </row>
    <row r="31" spans="1:11" ht="15" x14ac:dyDescent="0.25">
      <c r="A31" s="239">
        <f t="shared" si="0"/>
        <v>28</v>
      </c>
      <c r="B31" s="250" t="s">
        <v>667</v>
      </c>
      <c r="C31" s="250" t="s">
        <v>141</v>
      </c>
      <c r="D31" s="248">
        <v>20000</v>
      </c>
      <c r="E31" s="249"/>
      <c r="F31" s="248"/>
      <c r="G31" s="249"/>
      <c r="H31" s="239"/>
      <c r="I31" s="243"/>
      <c r="J31" s="243"/>
      <c r="K31" s="239"/>
    </row>
    <row r="32" spans="1:11" ht="15" x14ac:dyDescent="0.25">
      <c r="A32" s="239">
        <f t="shared" si="0"/>
        <v>29</v>
      </c>
      <c r="B32" s="250" t="s">
        <v>668</v>
      </c>
      <c r="C32" s="250" t="s">
        <v>141</v>
      </c>
      <c r="D32" s="248">
        <v>20000</v>
      </c>
      <c r="E32" s="249"/>
      <c r="F32" s="248"/>
      <c r="G32" s="249"/>
      <c r="H32" s="239"/>
      <c r="I32" s="243"/>
      <c r="J32" s="243"/>
      <c r="K32" s="239"/>
    </row>
    <row r="33" spans="1:11" ht="15" x14ac:dyDescent="0.25">
      <c r="A33" s="239">
        <f t="shared" si="0"/>
        <v>30</v>
      </c>
      <c r="B33" s="250" t="s">
        <v>669</v>
      </c>
      <c r="C33" s="250" t="s">
        <v>141</v>
      </c>
      <c r="D33" s="248">
        <v>20000</v>
      </c>
      <c r="E33" s="249"/>
      <c r="F33" s="248"/>
      <c r="G33" s="249"/>
      <c r="H33" s="239"/>
      <c r="I33" s="243"/>
      <c r="J33" s="243"/>
      <c r="K33" s="239"/>
    </row>
    <row r="34" spans="1:11" ht="15" x14ac:dyDescent="0.25">
      <c r="A34" s="239">
        <f t="shared" si="0"/>
        <v>31</v>
      </c>
      <c r="B34" s="250" t="s">
        <v>670</v>
      </c>
      <c r="C34" s="250" t="s">
        <v>225</v>
      </c>
      <c r="D34" s="248">
        <v>20000</v>
      </c>
      <c r="E34" s="249"/>
      <c r="F34" s="248"/>
      <c r="G34" s="249"/>
      <c r="H34" s="239"/>
      <c r="I34" s="243"/>
      <c r="J34" s="243"/>
      <c r="K34" s="239"/>
    </row>
    <row r="35" spans="1:11" ht="15" x14ac:dyDescent="0.25">
      <c r="A35" s="239">
        <f t="shared" si="0"/>
        <v>32</v>
      </c>
      <c r="B35" s="250" t="s">
        <v>671</v>
      </c>
      <c r="C35" s="250" t="s">
        <v>265</v>
      </c>
      <c r="D35" s="248">
        <v>20000</v>
      </c>
      <c r="E35" s="249"/>
      <c r="F35" s="248"/>
      <c r="G35" s="249"/>
      <c r="H35" s="239"/>
      <c r="I35" s="243"/>
      <c r="J35" s="243"/>
      <c r="K35" s="239"/>
    </row>
    <row r="36" spans="1:11" ht="15" x14ac:dyDescent="0.25">
      <c r="A36" s="239">
        <f t="shared" si="0"/>
        <v>33</v>
      </c>
      <c r="B36" s="250" t="s">
        <v>672</v>
      </c>
      <c r="C36" s="250" t="s">
        <v>367</v>
      </c>
      <c r="D36" s="248">
        <v>20000</v>
      </c>
      <c r="E36" s="249"/>
      <c r="F36" s="248"/>
      <c r="G36" s="249"/>
      <c r="H36" s="239"/>
      <c r="I36" s="243"/>
      <c r="J36" s="243"/>
      <c r="K36" s="239"/>
    </row>
    <row r="37" spans="1:11" ht="15" x14ac:dyDescent="0.25">
      <c r="A37" s="239">
        <f t="shared" si="0"/>
        <v>34</v>
      </c>
      <c r="B37" s="250" t="s">
        <v>619</v>
      </c>
      <c r="C37" s="250" t="s">
        <v>367</v>
      </c>
      <c r="D37" s="248">
        <v>20000</v>
      </c>
      <c r="E37" s="249"/>
      <c r="F37" s="248"/>
      <c r="G37" s="249"/>
      <c r="H37" s="239"/>
      <c r="I37" s="243"/>
      <c r="J37" s="243"/>
      <c r="K37" s="239"/>
    </row>
    <row r="38" spans="1:11" ht="15" x14ac:dyDescent="0.25">
      <c r="A38" s="239">
        <f t="shared" si="0"/>
        <v>35</v>
      </c>
      <c r="B38" s="250" t="s">
        <v>620</v>
      </c>
      <c r="C38" s="250" t="s">
        <v>415</v>
      </c>
      <c r="D38" s="248">
        <v>20000</v>
      </c>
      <c r="E38" s="249"/>
      <c r="F38" s="248"/>
      <c r="G38" s="249"/>
      <c r="H38" s="239"/>
      <c r="I38" s="243"/>
      <c r="J38" s="243"/>
      <c r="K38" s="239"/>
    </row>
    <row r="39" spans="1:11" ht="15" x14ac:dyDescent="0.25">
      <c r="A39" s="239">
        <f t="shared" si="0"/>
        <v>36</v>
      </c>
      <c r="B39" s="250" t="s">
        <v>673</v>
      </c>
      <c r="C39" s="250" t="s">
        <v>454</v>
      </c>
      <c r="D39" s="248">
        <v>20000</v>
      </c>
      <c r="E39" s="249"/>
      <c r="F39" s="248"/>
      <c r="G39" s="249"/>
      <c r="H39" s="239"/>
      <c r="I39" s="243"/>
      <c r="J39" s="243"/>
      <c r="K39" s="239"/>
    </row>
    <row r="40" spans="1:11" ht="15" x14ac:dyDescent="0.25">
      <c r="A40" s="239">
        <f t="shared" si="0"/>
        <v>37</v>
      </c>
      <c r="B40" s="250" t="s">
        <v>621</v>
      </c>
      <c r="C40" s="250" t="s">
        <v>454</v>
      </c>
      <c r="D40" s="248">
        <v>20000</v>
      </c>
      <c r="E40" s="249"/>
      <c r="F40" s="248"/>
      <c r="G40" s="249"/>
      <c r="H40" s="239"/>
      <c r="I40" s="243"/>
      <c r="J40" s="243"/>
      <c r="K40" s="239"/>
    </row>
    <row r="41" spans="1:11" ht="15" x14ac:dyDescent="0.25">
      <c r="A41" s="239">
        <f t="shared" si="0"/>
        <v>38</v>
      </c>
      <c r="B41" s="250" t="s">
        <v>674</v>
      </c>
      <c r="C41" s="250" t="s">
        <v>454</v>
      </c>
      <c r="D41" s="248">
        <v>20000</v>
      </c>
      <c r="E41" s="249"/>
      <c r="F41" s="248"/>
      <c r="G41" s="249"/>
      <c r="H41" s="239"/>
      <c r="I41" s="243"/>
      <c r="J41" s="243"/>
      <c r="K41" s="239"/>
    </row>
    <row r="42" spans="1:11" ht="15" x14ac:dyDescent="0.25">
      <c r="A42" s="239">
        <f t="shared" si="0"/>
        <v>39</v>
      </c>
      <c r="B42" s="250" t="s">
        <v>675</v>
      </c>
      <c r="C42" s="250" t="s">
        <v>141</v>
      </c>
      <c r="D42" s="248">
        <v>20000</v>
      </c>
      <c r="E42" s="249"/>
      <c r="F42" s="248"/>
      <c r="G42" s="249"/>
      <c r="H42" s="239"/>
      <c r="I42" s="243"/>
      <c r="J42" s="243"/>
      <c r="K42" s="239"/>
    </row>
    <row r="43" spans="1:11" ht="15" x14ac:dyDescent="0.25">
      <c r="A43" s="239">
        <f t="shared" si="0"/>
        <v>40</v>
      </c>
      <c r="B43" s="250" t="s">
        <v>676</v>
      </c>
      <c r="C43" s="250" t="s">
        <v>265</v>
      </c>
      <c r="D43" s="248">
        <v>20000</v>
      </c>
      <c r="E43" s="249"/>
      <c r="F43" s="248"/>
      <c r="G43" s="249"/>
      <c r="H43" s="239"/>
      <c r="I43" s="243"/>
      <c r="J43" s="243"/>
      <c r="K43" s="239"/>
    </row>
    <row r="44" spans="1:11" ht="15" x14ac:dyDescent="0.25">
      <c r="A44" s="239">
        <f t="shared" si="0"/>
        <v>41</v>
      </c>
      <c r="B44" s="250" t="s">
        <v>677</v>
      </c>
      <c r="C44" s="250" t="s">
        <v>265</v>
      </c>
      <c r="D44" s="248">
        <v>20000</v>
      </c>
      <c r="E44" s="249"/>
      <c r="F44" s="248"/>
      <c r="G44" s="249"/>
      <c r="H44" s="239"/>
      <c r="I44" s="243"/>
      <c r="J44" s="243"/>
      <c r="K44" s="239"/>
    </row>
    <row r="45" spans="1:11" ht="15" x14ac:dyDescent="0.25">
      <c r="A45" s="239">
        <f t="shared" si="0"/>
        <v>42</v>
      </c>
      <c r="B45" s="250" t="s">
        <v>678</v>
      </c>
      <c r="C45" s="250" t="s">
        <v>367</v>
      </c>
      <c r="D45" s="248">
        <v>20000</v>
      </c>
      <c r="E45" s="249"/>
      <c r="F45" s="248"/>
      <c r="G45" s="249"/>
      <c r="H45" s="239"/>
      <c r="I45" s="243"/>
      <c r="J45" s="243"/>
      <c r="K45" s="239"/>
    </row>
    <row r="46" spans="1:11" ht="15" x14ac:dyDescent="0.25">
      <c r="A46" s="239">
        <f t="shared" si="0"/>
        <v>43</v>
      </c>
      <c r="B46" s="250" t="s">
        <v>679</v>
      </c>
      <c r="C46" s="250" t="s">
        <v>367</v>
      </c>
      <c r="D46" s="248">
        <v>20000</v>
      </c>
      <c r="E46" s="249"/>
      <c r="F46" s="248"/>
      <c r="G46" s="249"/>
      <c r="H46" s="239"/>
      <c r="I46" s="243"/>
      <c r="J46" s="243"/>
      <c r="K46" s="239"/>
    </row>
    <row r="47" spans="1:11" ht="15" x14ac:dyDescent="0.25">
      <c r="A47" s="239">
        <f t="shared" si="0"/>
        <v>44</v>
      </c>
      <c r="B47" s="250" t="s">
        <v>624</v>
      </c>
      <c r="C47" s="250" t="s">
        <v>367</v>
      </c>
      <c r="D47" s="248">
        <v>20000</v>
      </c>
      <c r="E47" s="249"/>
      <c r="F47" s="248"/>
      <c r="G47" s="249"/>
      <c r="H47" s="239"/>
      <c r="I47" s="243"/>
      <c r="J47" s="243"/>
      <c r="K47" s="239"/>
    </row>
    <row r="48" spans="1:11" ht="15" x14ac:dyDescent="0.25">
      <c r="A48" s="239">
        <f t="shared" si="0"/>
        <v>45</v>
      </c>
      <c r="B48" s="250" t="s">
        <v>680</v>
      </c>
      <c r="C48" s="250" t="s">
        <v>367</v>
      </c>
      <c r="D48" s="248">
        <v>20000</v>
      </c>
      <c r="E48" s="249"/>
      <c r="F48" s="248"/>
      <c r="G48" s="249"/>
      <c r="H48" s="239"/>
      <c r="I48" s="243"/>
      <c r="J48" s="243"/>
      <c r="K48" s="239"/>
    </row>
    <row r="49" spans="1:15" ht="15" x14ac:dyDescent="0.25">
      <c r="A49" s="239">
        <f t="shared" si="0"/>
        <v>46</v>
      </c>
      <c r="B49" s="250" t="s">
        <v>626</v>
      </c>
      <c r="C49" s="250" t="s">
        <v>367</v>
      </c>
      <c r="D49" s="248">
        <v>20000</v>
      </c>
      <c r="E49" s="249"/>
      <c r="F49" s="248"/>
      <c r="G49" s="249"/>
      <c r="H49" s="239"/>
      <c r="I49" s="243"/>
      <c r="J49" s="243"/>
      <c r="K49" s="239"/>
    </row>
    <row r="50" spans="1:15" ht="15" x14ac:dyDescent="0.25">
      <c r="A50" s="239">
        <f t="shared" si="0"/>
        <v>47</v>
      </c>
      <c r="B50" s="250" t="s">
        <v>627</v>
      </c>
      <c r="C50" s="250" t="s">
        <v>415</v>
      </c>
      <c r="D50" s="248">
        <v>20000</v>
      </c>
      <c r="E50" s="249"/>
      <c r="F50" s="248"/>
      <c r="G50" s="249"/>
      <c r="H50" s="239"/>
      <c r="I50" s="243"/>
      <c r="J50" s="243"/>
      <c r="K50" s="239"/>
    </row>
    <row r="51" spans="1:15" ht="15" x14ac:dyDescent="0.25">
      <c r="A51" s="239">
        <f t="shared" si="0"/>
        <v>48</v>
      </c>
      <c r="B51" s="250" t="s">
        <v>681</v>
      </c>
      <c r="C51" s="250" t="s">
        <v>415</v>
      </c>
      <c r="D51" s="248">
        <v>20000</v>
      </c>
      <c r="E51" s="249"/>
      <c r="F51" s="248"/>
      <c r="G51" s="249"/>
      <c r="H51" s="239"/>
      <c r="I51" s="243"/>
      <c r="J51" s="243"/>
      <c r="K51" s="239"/>
    </row>
    <row r="52" spans="1:15" ht="15" x14ac:dyDescent="0.25">
      <c r="A52" s="239">
        <f t="shared" si="0"/>
        <v>49</v>
      </c>
      <c r="B52" s="250" t="s">
        <v>628</v>
      </c>
      <c r="C52" s="250" t="s">
        <v>415</v>
      </c>
      <c r="D52" s="248">
        <v>20000</v>
      </c>
      <c r="E52" s="249"/>
      <c r="F52" s="248"/>
      <c r="G52" s="249"/>
      <c r="H52" s="239"/>
      <c r="I52" s="243"/>
      <c r="J52" s="243"/>
      <c r="K52" s="239"/>
    </row>
    <row r="53" spans="1:15" ht="15" x14ac:dyDescent="0.25">
      <c r="A53" s="239">
        <f t="shared" si="0"/>
        <v>50</v>
      </c>
      <c r="B53" s="250" t="s">
        <v>630</v>
      </c>
      <c r="C53" s="250" t="s">
        <v>415</v>
      </c>
      <c r="D53" s="248">
        <v>20000</v>
      </c>
      <c r="E53" s="249"/>
      <c r="F53" s="248"/>
      <c r="G53" s="249"/>
      <c r="H53" s="239"/>
      <c r="I53" s="243"/>
      <c r="J53" s="243"/>
      <c r="K53" s="239"/>
    </row>
    <row r="54" spans="1:15" ht="15" x14ac:dyDescent="0.25">
      <c r="A54" s="239">
        <f t="shared" si="0"/>
        <v>51</v>
      </c>
      <c r="B54" s="250" t="s">
        <v>631</v>
      </c>
      <c r="C54" s="250" t="s">
        <v>454</v>
      </c>
      <c r="D54" s="248">
        <v>20000</v>
      </c>
      <c r="E54" s="249"/>
      <c r="F54" s="248"/>
      <c r="G54" s="249"/>
      <c r="H54" s="239"/>
      <c r="I54" s="243"/>
      <c r="J54" s="243"/>
      <c r="K54" s="239"/>
    </row>
    <row r="55" spans="1:15" ht="15" x14ac:dyDescent="0.25">
      <c r="A55" s="239">
        <f t="shared" si="0"/>
        <v>52</v>
      </c>
      <c r="B55" s="250" t="s">
        <v>632</v>
      </c>
      <c r="C55" s="250" t="s">
        <v>454</v>
      </c>
      <c r="D55" s="248">
        <v>20000</v>
      </c>
      <c r="E55" s="249"/>
      <c r="F55" s="248"/>
      <c r="G55" s="249"/>
      <c r="H55" s="239"/>
      <c r="I55" s="243"/>
      <c r="J55" s="243"/>
      <c r="K55" s="239"/>
    </row>
    <row r="56" spans="1:15" ht="15" x14ac:dyDescent="0.25">
      <c r="A56" s="239">
        <f t="shared" si="0"/>
        <v>53</v>
      </c>
      <c r="B56" s="250" t="s">
        <v>682</v>
      </c>
      <c r="C56" s="250" t="s">
        <v>454</v>
      </c>
      <c r="D56" s="248">
        <v>20000</v>
      </c>
      <c r="E56" s="249"/>
      <c r="F56" s="248"/>
      <c r="G56" s="249"/>
      <c r="H56" s="239"/>
      <c r="I56" s="243"/>
      <c r="J56" s="243"/>
      <c r="K56" s="239"/>
    </row>
    <row r="57" spans="1:15" ht="15" x14ac:dyDescent="0.25">
      <c r="A57" s="239">
        <f t="shared" si="0"/>
        <v>54</v>
      </c>
      <c r="B57" s="250" t="s">
        <v>591</v>
      </c>
      <c r="C57" s="250" t="s">
        <v>454</v>
      </c>
      <c r="D57" s="248">
        <v>20000</v>
      </c>
      <c r="E57" s="249"/>
      <c r="F57" s="248"/>
      <c r="G57" s="249"/>
      <c r="H57" s="239"/>
      <c r="I57" s="243"/>
      <c r="J57" s="243"/>
      <c r="K57" s="239"/>
    </row>
    <row r="58" spans="1:15" ht="15" x14ac:dyDescent="0.25">
      <c r="A58" s="239">
        <f t="shared" si="0"/>
        <v>55</v>
      </c>
      <c r="B58" s="250" t="s">
        <v>633</v>
      </c>
      <c r="C58" s="250"/>
      <c r="D58" s="248">
        <v>20000</v>
      </c>
      <c r="E58" s="249"/>
      <c r="F58" s="248"/>
      <c r="G58" s="249"/>
      <c r="H58" s="239"/>
      <c r="I58" s="243"/>
      <c r="J58" s="243"/>
      <c r="K58" s="239"/>
    </row>
    <row r="59" spans="1:15" ht="15" x14ac:dyDescent="0.25">
      <c r="A59" s="239">
        <f t="shared" si="0"/>
        <v>56</v>
      </c>
      <c r="B59" s="250" t="s">
        <v>633</v>
      </c>
      <c r="C59" s="250"/>
      <c r="D59" s="248">
        <v>20000</v>
      </c>
      <c r="E59" s="249"/>
      <c r="F59" s="248"/>
      <c r="G59" s="249"/>
      <c r="H59" s="239"/>
      <c r="I59" s="243"/>
      <c r="J59" s="243"/>
      <c r="K59" s="239"/>
    </row>
    <row r="60" spans="1:15" ht="15" x14ac:dyDescent="0.25">
      <c r="A60" s="239">
        <f t="shared" si="0"/>
        <v>57</v>
      </c>
      <c r="B60" s="250" t="s">
        <v>683</v>
      </c>
      <c r="C60" s="250" t="s">
        <v>141</v>
      </c>
      <c r="D60" s="248">
        <v>20000</v>
      </c>
      <c r="E60" s="249"/>
      <c r="F60" s="248"/>
      <c r="G60" s="249"/>
      <c r="H60" s="239"/>
      <c r="I60" s="243"/>
      <c r="J60" s="243"/>
      <c r="K60" s="239"/>
    </row>
    <row r="61" spans="1:15" ht="15" x14ac:dyDescent="0.25">
      <c r="A61" s="239">
        <f t="shared" si="0"/>
        <v>58</v>
      </c>
      <c r="B61" s="250" t="s">
        <v>684</v>
      </c>
      <c r="C61" s="250" t="s">
        <v>141</v>
      </c>
      <c r="D61" s="248">
        <v>20000</v>
      </c>
      <c r="E61" s="249"/>
      <c r="F61" s="248"/>
      <c r="G61" s="249"/>
      <c r="H61" s="239"/>
      <c r="I61" s="243"/>
      <c r="J61" s="243"/>
      <c r="K61" s="239"/>
    </row>
    <row r="62" spans="1:15" ht="15" x14ac:dyDescent="0.25">
      <c r="A62" s="239">
        <f t="shared" si="0"/>
        <v>59</v>
      </c>
      <c r="B62" s="250" t="s">
        <v>667</v>
      </c>
      <c r="C62" s="250" t="s">
        <v>141</v>
      </c>
      <c r="D62" s="248">
        <v>20000</v>
      </c>
      <c r="E62" s="249"/>
      <c r="F62" s="248"/>
      <c r="G62" s="249"/>
      <c r="H62" s="239"/>
      <c r="I62" s="243"/>
      <c r="J62" s="243"/>
      <c r="K62" s="239"/>
      <c r="O62">
        <v>1</v>
      </c>
    </row>
    <row r="63" spans="1:15" ht="15" x14ac:dyDescent="0.25">
      <c r="A63" s="239">
        <f t="shared" si="0"/>
        <v>60</v>
      </c>
      <c r="B63" s="250" t="s">
        <v>685</v>
      </c>
      <c r="C63" s="250" t="s">
        <v>225</v>
      </c>
      <c r="D63" s="248">
        <v>20000</v>
      </c>
      <c r="E63" s="249"/>
      <c r="F63" s="248"/>
      <c r="G63" s="249"/>
      <c r="H63" s="239"/>
      <c r="I63" s="243"/>
      <c r="J63" s="243"/>
      <c r="K63" s="239"/>
    </row>
    <row r="64" spans="1:15" ht="15" x14ac:dyDescent="0.25">
      <c r="A64" s="239">
        <f t="shared" si="0"/>
        <v>61</v>
      </c>
      <c r="B64" s="250" t="s">
        <v>686</v>
      </c>
      <c r="C64" s="250" t="s">
        <v>265</v>
      </c>
      <c r="D64" s="248">
        <v>20000</v>
      </c>
      <c r="E64" s="249"/>
      <c r="F64" s="248"/>
      <c r="G64" s="249"/>
      <c r="H64" s="239"/>
      <c r="I64" s="243"/>
      <c r="J64" s="243"/>
      <c r="K64" s="239"/>
    </row>
    <row r="65" spans="1:11" ht="15" x14ac:dyDescent="0.25">
      <c r="A65" s="239">
        <f t="shared" si="0"/>
        <v>62</v>
      </c>
      <c r="B65" s="250" t="s">
        <v>687</v>
      </c>
      <c r="C65" s="250" t="s">
        <v>265</v>
      </c>
      <c r="D65" s="248">
        <v>20000</v>
      </c>
      <c r="E65" s="249"/>
      <c r="F65" s="248"/>
      <c r="G65" s="249"/>
      <c r="H65" s="239"/>
      <c r="I65" s="243"/>
      <c r="J65" s="243"/>
      <c r="K65" s="239"/>
    </row>
    <row r="66" spans="1:11" ht="15" x14ac:dyDescent="0.25">
      <c r="A66" s="239">
        <f t="shared" si="0"/>
        <v>63</v>
      </c>
      <c r="B66" s="250" t="s">
        <v>688</v>
      </c>
      <c r="C66" s="250" t="s">
        <v>265</v>
      </c>
      <c r="D66" s="248">
        <v>20000</v>
      </c>
      <c r="E66" s="249"/>
      <c r="F66" s="248"/>
      <c r="G66" s="249"/>
      <c r="H66" s="239"/>
      <c r="I66" s="243"/>
      <c r="J66" s="243"/>
      <c r="K66" s="239"/>
    </row>
    <row r="67" spans="1:11" ht="15" x14ac:dyDescent="0.25">
      <c r="A67" s="239">
        <f t="shared" si="0"/>
        <v>64</v>
      </c>
      <c r="B67" s="250" t="s">
        <v>689</v>
      </c>
      <c r="C67" s="250" t="s">
        <v>327</v>
      </c>
      <c r="D67" s="248">
        <v>20000</v>
      </c>
      <c r="E67" s="249"/>
      <c r="F67" s="248"/>
      <c r="G67" s="249"/>
      <c r="H67" s="239"/>
      <c r="I67" s="243"/>
      <c r="J67" s="243"/>
      <c r="K67" s="239"/>
    </row>
    <row r="68" spans="1:11" ht="15" x14ac:dyDescent="0.25">
      <c r="A68" s="239">
        <f t="shared" si="0"/>
        <v>65</v>
      </c>
      <c r="B68" s="250" t="s">
        <v>690</v>
      </c>
      <c r="C68" s="250" t="s">
        <v>367</v>
      </c>
      <c r="D68" s="248">
        <v>20000</v>
      </c>
      <c r="E68" s="249"/>
      <c r="F68" s="248"/>
      <c r="G68" s="249"/>
      <c r="H68" s="239"/>
      <c r="I68" s="243"/>
      <c r="J68" s="243"/>
      <c r="K68" s="239"/>
    </row>
    <row r="69" spans="1:11" ht="15" x14ac:dyDescent="0.25">
      <c r="A69" s="239">
        <f t="shared" si="0"/>
        <v>66</v>
      </c>
      <c r="B69" s="250" t="s">
        <v>638</v>
      </c>
      <c r="C69" s="250" t="s">
        <v>367</v>
      </c>
      <c r="D69" s="248">
        <v>20000</v>
      </c>
      <c r="E69" s="249"/>
      <c r="F69" s="248"/>
      <c r="G69" s="249"/>
      <c r="H69" s="239"/>
      <c r="I69" s="243"/>
      <c r="J69" s="243"/>
      <c r="K69" s="239"/>
    </row>
    <row r="70" spans="1:11" ht="15" x14ac:dyDescent="0.25">
      <c r="A70" s="239">
        <f t="shared" ref="A70:A107" si="1">A69+1</f>
        <v>67</v>
      </c>
      <c r="B70" s="250" t="s">
        <v>691</v>
      </c>
      <c r="C70" s="250" t="s">
        <v>367</v>
      </c>
      <c r="D70" s="248">
        <v>20000</v>
      </c>
      <c r="E70" s="249"/>
      <c r="F70" s="248"/>
      <c r="G70" s="249"/>
      <c r="H70" s="239"/>
      <c r="I70" s="243"/>
      <c r="J70" s="243"/>
      <c r="K70" s="239"/>
    </row>
    <row r="71" spans="1:11" ht="15" x14ac:dyDescent="0.25">
      <c r="A71" s="239">
        <f t="shared" si="1"/>
        <v>68</v>
      </c>
      <c r="B71" s="250" t="s">
        <v>692</v>
      </c>
      <c r="C71" s="250" t="s">
        <v>367</v>
      </c>
      <c r="D71" s="248">
        <v>20000</v>
      </c>
      <c r="E71" s="249"/>
      <c r="F71" s="248"/>
      <c r="G71" s="249"/>
      <c r="H71" s="239"/>
      <c r="I71" s="243"/>
      <c r="J71" s="243"/>
      <c r="K71" s="239"/>
    </row>
    <row r="72" spans="1:11" ht="15" x14ac:dyDescent="0.25">
      <c r="A72" s="239">
        <f t="shared" si="1"/>
        <v>69</v>
      </c>
      <c r="B72" s="250" t="s">
        <v>693</v>
      </c>
      <c r="C72" s="250" t="s">
        <v>454</v>
      </c>
      <c r="D72" s="248">
        <v>20000</v>
      </c>
      <c r="E72" s="249"/>
      <c r="F72" s="248"/>
      <c r="G72" s="249"/>
      <c r="H72" s="239"/>
      <c r="I72" s="243"/>
      <c r="J72" s="243"/>
      <c r="K72" s="239"/>
    </row>
    <row r="73" spans="1:11" ht="15" x14ac:dyDescent="0.25">
      <c r="A73" s="239">
        <f t="shared" si="1"/>
        <v>70</v>
      </c>
      <c r="B73" s="250" t="s">
        <v>694</v>
      </c>
      <c r="C73" s="250" t="s">
        <v>141</v>
      </c>
      <c r="D73" s="248">
        <v>20000</v>
      </c>
      <c r="E73" s="249"/>
      <c r="F73" s="248"/>
      <c r="G73" s="249"/>
      <c r="H73" s="239"/>
      <c r="I73" s="243"/>
      <c r="J73" s="243"/>
      <c r="K73" s="239"/>
    </row>
    <row r="74" spans="1:11" ht="15" x14ac:dyDescent="0.25">
      <c r="A74" s="239">
        <f t="shared" si="1"/>
        <v>71</v>
      </c>
      <c r="B74" s="250" t="s">
        <v>614</v>
      </c>
      <c r="C74" s="250" t="s">
        <v>327</v>
      </c>
      <c r="D74" s="248">
        <v>20000</v>
      </c>
      <c r="E74" s="249"/>
      <c r="F74" s="248"/>
      <c r="G74" s="249"/>
      <c r="H74" s="239"/>
      <c r="I74" s="243"/>
      <c r="J74" s="243"/>
      <c r="K74" s="239"/>
    </row>
    <row r="75" spans="1:11" ht="15" x14ac:dyDescent="0.25">
      <c r="A75" s="239">
        <f t="shared" si="1"/>
        <v>72</v>
      </c>
      <c r="B75" s="250" t="s">
        <v>644</v>
      </c>
      <c r="C75" s="250" t="s">
        <v>367</v>
      </c>
      <c r="D75" s="248">
        <v>20000</v>
      </c>
      <c r="E75" s="249"/>
      <c r="F75" s="248"/>
      <c r="G75" s="249"/>
      <c r="H75" s="239"/>
      <c r="I75" s="243"/>
      <c r="J75" s="243"/>
      <c r="K75" s="239"/>
    </row>
    <row r="76" spans="1:11" ht="15" x14ac:dyDescent="0.25">
      <c r="A76" s="239">
        <f t="shared" si="1"/>
        <v>73</v>
      </c>
      <c r="B76" s="250" t="s">
        <v>645</v>
      </c>
      <c r="C76" s="250" t="s">
        <v>415</v>
      </c>
      <c r="D76" s="248">
        <v>20000</v>
      </c>
      <c r="E76" s="249"/>
      <c r="F76" s="248"/>
      <c r="G76" s="249"/>
      <c r="H76" s="239"/>
      <c r="I76" s="243"/>
      <c r="J76" s="243"/>
      <c r="K76" s="239"/>
    </row>
    <row r="77" spans="1:11" ht="15" x14ac:dyDescent="0.25">
      <c r="A77" s="239">
        <f t="shared" si="1"/>
        <v>74</v>
      </c>
      <c r="B77" s="250" t="s">
        <v>646</v>
      </c>
      <c r="C77" s="250" t="s">
        <v>367</v>
      </c>
      <c r="D77" s="248">
        <v>20000</v>
      </c>
      <c r="E77" s="249"/>
      <c r="F77" s="248"/>
      <c r="G77" s="249"/>
      <c r="H77" s="239"/>
      <c r="I77" s="243"/>
      <c r="J77" s="243"/>
      <c r="K77" s="239"/>
    </row>
    <row r="78" spans="1:11" ht="15" x14ac:dyDescent="0.25">
      <c r="A78" s="239">
        <f t="shared" si="1"/>
        <v>75</v>
      </c>
      <c r="B78" s="250" t="s">
        <v>641</v>
      </c>
      <c r="C78" s="250" t="s">
        <v>415</v>
      </c>
      <c r="D78" s="248">
        <v>20000</v>
      </c>
      <c r="E78" s="249"/>
      <c r="F78" s="248"/>
      <c r="G78" s="249"/>
      <c r="H78" s="239"/>
      <c r="I78" s="243"/>
      <c r="J78" s="243"/>
      <c r="K78" s="239"/>
    </row>
    <row r="79" spans="1:11" ht="15" x14ac:dyDescent="0.25">
      <c r="A79" s="239">
        <f t="shared" si="1"/>
        <v>76</v>
      </c>
      <c r="B79" s="250" t="s">
        <v>695</v>
      </c>
      <c r="C79" s="250" t="s">
        <v>265</v>
      </c>
      <c r="D79" s="248">
        <v>20000</v>
      </c>
      <c r="E79" s="249"/>
      <c r="F79" s="248"/>
      <c r="G79" s="249"/>
      <c r="H79" s="239"/>
      <c r="I79" s="243"/>
      <c r="J79" s="243"/>
      <c r="K79" s="239"/>
    </row>
    <row r="80" spans="1:11" ht="15" x14ac:dyDescent="0.25">
      <c r="A80" s="239">
        <f t="shared" si="1"/>
        <v>77</v>
      </c>
      <c r="B80" s="250" t="s">
        <v>608</v>
      </c>
      <c r="C80" s="250" t="s">
        <v>454</v>
      </c>
      <c r="D80" s="248">
        <v>20000</v>
      </c>
      <c r="E80" s="249"/>
      <c r="F80" s="248"/>
      <c r="G80" s="249"/>
      <c r="H80" s="239"/>
      <c r="I80" s="243"/>
      <c r="J80" s="243"/>
      <c r="K80" s="239"/>
    </row>
    <row r="81" spans="1:11" ht="15" x14ac:dyDescent="0.25">
      <c r="A81" s="239">
        <f t="shared" si="1"/>
        <v>78</v>
      </c>
      <c r="B81" s="250" t="s">
        <v>696</v>
      </c>
      <c r="C81" s="250" t="s">
        <v>367</v>
      </c>
      <c r="D81" s="248">
        <v>20000</v>
      </c>
      <c r="E81" s="249"/>
      <c r="F81" s="248"/>
      <c r="G81" s="249"/>
      <c r="H81" s="239"/>
      <c r="I81" s="243"/>
      <c r="J81" s="243"/>
      <c r="K81" s="239"/>
    </row>
    <row r="82" spans="1:11" ht="15" x14ac:dyDescent="0.25">
      <c r="A82" s="239">
        <f t="shared" si="1"/>
        <v>79</v>
      </c>
      <c r="B82" s="250" t="s">
        <v>704</v>
      </c>
      <c r="C82" s="250" t="s">
        <v>141</v>
      </c>
      <c r="D82" s="248">
        <v>20000</v>
      </c>
      <c r="E82" s="249"/>
      <c r="F82" s="248"/>
      <c r="G82" s="249"/>
      <c r="H82" s="239"/>
      <c r="I82" s="243"/>
      <c r="J82" s="243"/>
      <c r="K82" s="239"/>
    </row>
    <row r="83" spans="1:11" ht="15" x14ac:dyDescent="0.25">
      <c r="A83" s="239">
        <f t="shared" si="1"/>
        <v>80</v>
      </c>
      <c r="B83" s="250" t="s">
        <v>705</v>
      </c>
      <c r="C83" s="250" t="s">
        <v>225</v>
      </c>
      <c r="D83" s="248">
        <v>20000</v>
      </c>
      <c r="E83" s="249"/>
      <c r="F83" s="248"/>
      <c r="G83" s="249"/>
      <c r="H83" s="239"/>
      <c r="I83" s="243"/>
      <c r="J83" s="243"/>
      <c r="K83" s="239"/>
    </row>
    <row r="84" spans="1:11" ht="15" x14ac:dyDescent="0.25">
      <c r="A84" s="239">
        <f t="shared" si="1"/>
        <v>81</v>
      </c>
      <c r="B84" s="250" t="s">
        <v>706</v>
      </c>
      <c r="C84" s="250" t="s">
        <v>225</v>
      </c>
      <c r="D84" s="248">
        <v>20000</v>
      </c>
      <c r="E84" s="249"/>
      <c r="F84" s="248"/>
      <c r="G84" s="249"/>
      <c r="H84" s="239"/>
      <c r="I84" s="243"/>
      <c r="J84" s="243"/>
      <c r="K84" s="239"/>
    </row>
    <row r="85" spans="1:11" ht="15" x14ac:dyDescent="0.25">
      <c r="A85" s="239">
        <f t="shared" si="1"/>
        <v>82</v>
      </c>
      <c r="B85" s="250" t="s">
        <v>707</v>
      </c>
      <c r="C85" s="250" t="s">
        <v>225</v>
      </c>
      <c r="D85" s="248">
        <v>20000</v>
      </c>
      <c r="E85" s="249"/>
      <c r="F85" s="248"/>
      <c r="G85" s="249"/>
      <c r="H85" s="239"/>
      <c r="I85" s="243"/>
      <c r="J85" s="243"/>
      <c r="K85" s="239"/>
    </row>
    <row r="86" spans="1:11" ht="15" x14ac:dyDescent="0.25">
      <c r="A86" s="239">
        <f t="shared" si="1"/>
        <v>83</v>
      </c>
      <c r="B86" s="250" t="s">
        <v>698</v>
      </c>
      <c r="C86" s="250" t="s">
        <v>327</v>
      </c>
      <c r="D86" s="248">
        <v>20000</v>
      </c>
      <c r="E86" s="249"/>
      <c r="F86" s="248"/>
      <c r="G86" s="249"/>
      <c r="H86" s="239"/>
      <c r="I86" s="243"/>
      <c r="J86" s="243"/>
      <c r="K86" s="239"/>
    </row>
    <row r="87" spans="1:11" ht="15" x14ac:dyDescent="0.25">
      <c r="A87" s="239">
        <f t="shared" si="1"/>
        <v>84</v>
      </c>
      <c r="B87" s="250" t="s">
        <v>708</v>
      </c>
      <c r="C87" s="250" t="s">
        <v>265</v>
      </c>
      <c r="D87" s="248">
        <v>20000</v>
      </c>
      <c r="E87" s="249"/>
      <c r="F87" s="248"/>
      <c r="G87" s="249"/>
      <c r="H87" s="239"/>
      <c r="I87" s="243"/>
      <c r="J87" s="243"/>
      <c r="K87" s="239"/>
    </row>
    <row r="88" spans="1:11" ht="15" x14ac:dyDescent="0.25">
      <c r="A88" s="239">
        <f t="shared" si="1"/>
        <v>85</v>
      </c>
      <c r="B88" s="250" t="s">
        <v>700</v>
      </c>
      <c r="C88" s="250" t="s">
        <v>327</v>
      </c>
      <c r="D88" s="248">
        <v>20000</v>
      </c>
      <c r="E88" s="249"/>
      <c r="F88" s="248"/>
      <c r="G88" s="249"/>
      <c r="H88" s="239"/>
      <c r="I88" s="243"/>
      <c r="J88" s="243"/>
      <c r="K88" s="239"/>
    </row>
    <row r="89" spans="1:11" ht="15" x14ac:dyDescent="0.25">
      <c r="A89" s="239">
        <f t="shared" si="1"/>
        <v>86</v>
      </c>
      <c r="B89" s="250" t="s">
        <v>702</v>
      </c>
      <c r="C89" s="250" t="s">
        <v>327</v>
      </c>
      <c r="D89" s="248">
        <v>20000</v>
      </c>
      <c r="E89" s="249"/>
      <c r="F89" s="248"/>
      <c r="G89" s="249"/>
      <c r="H89" s="239"/>
      <c r="I89" s="243"/>
      <c r="J89" s="243"/>
      <c r="K89" s="239"/>
    </row>
    <row r="90" spans="1:11" ht="15" x14ac:dyDescent="0.25">
      <c r="A90" s="239">
        <f t="shared" si="1"/>
        <v>87</v>
      </c>
      <c r="B90" s="250" t="s">
        <v>717</v>
      </c>
      <c r="C90" s="250" t="s">
        <v>141</v>
      </c>
      <c r="D90" s="248">
        <v>20000</v>
      </c>
      <c r="E90" s="249"/>
      <c r="F90" s="248"/>
      <c r="G90" s="249"/>
      <c r="H90" s="239"/>
      <c r="I90" s="243"/>
      <c r="J90" s="243"/>
      <c r="K90" s="239"/>
    </row>
    <row r="91" spans="1:11" ht="15" x14ac:dyDescent="0.25">
      <c r="A91" s="239">
        <f t="shared" si="1"/>
        <v>88</v>
      </c>
      <c r="B91" s="250"/>
      <c r="C91" s="250"/>
      <c r="D91" s="248"/>
      <c r="E91" s="249"/>
      <c r="F91" s="248"/>
      <c r="G91" s="249"/>
      <c r="H91" s="239"/>
      <c r="I91" s="243"/>
      <c r="J91" s="243"/>
      <c r="K91" s="239"/>
    </row>
    <row r="92" spans="1:11" ht="15" x14ac:dyDescent="0.25">
      <c r="A92" s="239">
        <f t="shared" si="1"/>
        <v>89</v>
      </c>
      <c r="B92" s="250"/>
      <c r="C92" s="250"/>
      <c r="D92" s="248"/>
      <c r="E92" s="249"/>
      <c r="F92" s="248"/>
      <c r="G92" s="249"/>
      <c r="H92" s="239"/>
      <c r="I92" s="243"/>
      <c r="J92" s="243"/>
      <c r="K92" s="239"/>
    </row>
    <row r="93" spans="1:11" ht="15" x14ac:dyDescent="0.25">
      <c r="A93" s="239">
        <f t="shared" si="1"/>
        <v>90</v>
      </c>
      <c r="B93" s="250"/>
      <c r="C93" s="250"/>
      <c r="D93" s="248"/>
      <c r="E93" s="249"/>
      <c r="F93" s="248"/>
      <c r="G93" s="249"/>
      <c r="H93" s="239"/>
      <c r="I93" s="243"/>
      <c r="J93" s="243"/>
      <c r="K93" s="239"/>
    </row>
    <row r="94" spans="1:11" ht="15" x14ac:dyDescent="0.25">
      <c r="A94" s="239">
        <f t="shared" si="1"/>
        <v>91</v>
      </c>
      <c r="B94" s="250"/>
      <c r="C94" s="250"/>
      <c r="D94" s="248"/>
      <c r="E94" s="249"/>
      <c r="F94" s="248"/>
      <c r="G94" s="249"/>
      <c r="H94" s="239"/>
      <c r="I94" s="243"/>
      <c r="J94" s="243"/>
      <c r="K94" s="239"/>
    </row>
    <row r="95" spans="1:11" ht="15" x14ac:dyDescent="0.25">
      <c r="A95" s="239">
        <f t="shared" si="1"/>
        <v>92</v>
      </c>
      <c r="B95" s="250"/>
      <c r="C95" s="250"/>
      <c r="D95" s="248"/>
      <c r="E95" s="249"/>
      <c r="F95" s="248"/>
      <c r="G95" s="249"/>
      <c r="H95" s="239"/>
      <c r="I95" s="243"/>
      <c r="J95" s="243"/>
      <c r="K95" s="239"/>
    </row>
    <row r="96" spans="1:11" ht="15" x14ac:dyDescent="0.25">
      <c r="A96" s="239">
        <f t="shared" si="1"/>
        <v>93</v>
      </c>
      <c r="B96" s="250"/>
      <c r="C96" s="250"/>
      <c r="D96" s="248"/>
      <c r="E96" s="249"/>
      <c r="F96" s="248"/>
      <c r="G96" s="249"/>
      <c r="H96" s="239"/>
      <c r="I96" s="243"/>
      <c r="J96" s="243"/>
      <c r="K96" s="239"/>
    </row>
    <row r="97" spans="1:11" ht="15" x14ac:dyDescent="0.25">
      <c r="A97" s="239">
        <f t="shared" si="1"/>
        <v>94</v>
      </c>
      <c r="B97" s="250"/>
      <c r="C97" s="250"/>
      <c r="D97" s="248"/>
      <c r="E97" s="249"/>
      <c r="F97" s="248"/>
      <c r="G97" s="249"/>
      <c r="H97" s="239"/>
      <c r="I97" s="243"/>
      <c r="J97" s="243"/>
      <c r="K97" s="239"/>
    </row>
    <row r="98" spans="1:11" ht="15" x14ac:dyDescent="0.25">
      <c r="A98" s="239">
        <f t="shared" si="1"/>
        <v>95</v>
      </c>
      <c r="B98" s="250"/>
      <c r="C98" s="250"/>
      <c r="D98" s="248"/>
      <c r="E98" s="249"/>
      <c r="F98" s="248"/>
      <c r="G98" s="249"/>
      <c r="H98" s="239"/>
      <c r="I98" s="243"/>
      <c r="J98" s="243"/>
      <c r="K98" s="239"/>
    </row>
    <row r="99" spans="1:11" ht="15" x14ac:dyDescent="0.25">
      <c r="A99" s="239">
        <f t="shared" si="1"/>
        <v>96</v>
      </c>
      <c r="B99" s="250"/>
      <c r="C99" s="250"/>
      <c r="D99" s="248"/>
      <c r="E99" s="249"/>
      <c r="F99" s="248"/>
      <c r="G99" s="249"/>
      <c r="H99" s="239"/>
      <c r="I99" s="243"/>
      <c r="J99" s="243"/>
      <c r="K99" s="239"/>
    </row>
    <row r="100" spans="1:11" ht="15" x14ac:dyDescent="0.25">
      <c r="A100" s="239">
        <f t="shared" si="1"/>
        <v>97</v>
      </c>
      <c r="B100" s="250"/>
      <c r="C100" s="250"/>
      <c r="D100" s="248"/>
      <c r="E100" s="250"/>
      <c r="F100" s="248"/>
      <c r="G100" s="250"/>
      <c r="H100" s="239"/>
      <c r="I100" s="243"/>
      <c r="J100" s="243"/>
      <c r="K100" s="239"/>
    </row>
    <row r="101" spans="1:11" ht="15" x14ac:dyDescent="0.25">
      <c r="A101" s="239">
        <f t="shared" si="1"/>
        <v>98</v>
      </c>
      <c r="B101" s="250"/>
      <c r="C101" s="250"/>
      <c r="D101" s="248"/>
      <c r="E101" s="250"/>
      <c r="F101" s="248"/>
      <c r="G101" s="250"/>
      <c r="H101" s="239"/>
      <c r="I101" s="243"/>
      <c r="J101" s="243"/>
      <c r="K101" s="239"/>
    </row>
    <row r="102" spans="1:11" ht="15" x14ac:dyDescent="0.25">
      <c r="A102" s="239">
        <f t="shared" si="1"/>
        <v>99</v>
      </c>
      <c r="B102" s="250"/>
      <c r="C102" s="250"/>
      <c r="D102" s="248"/>
      <c r="E102" s="250"/>
      <c r="F102" s="248"/>
      <c r="G102" s="250"/>
      <c r="H102" s="239"/>
      <c r="I102" s="243"/>
      <c r="J102" s="243"/>
      <c r="K102" s="239"/>
    </row>
    <row r="103" spans="1:11" ht="15" x14ac:dyDescent="0.25">
      <c r="A103" s="239">
        <f t="shared" si="1"/>
        <v>100</v>
      </c>
      <c r="B103" s="250"/>
      <c r="C103" s="250"/>
      <c r="D103" s="248"/>
      <c r="E103" s="250"/>
      <c r="F103" s="248"/>
      <c r="G103" s="250"/>
      <c r="H103" s="239"/>
      <c r="I103" s="243"/>
      <c r="J103" s="243"/>
      <c r="K103" s="239"/>
    </row>
    <row r="104" spans="1:11" ht="15" x14ac:dyDescent="0.25">
      <c r="A104" s="239">
        <f t="shared" si="1"/>
        <v>101</v>
      </c>
      <c r="B104" s="250"/>
      <c r="C104" s="250"/>
      <c r="D104" s="248"/>
      <c r="E104" s="250"/>
      <c r="F104" s="248"/>
      <c r="G104" s="250"/>
      <c r="H104" s="239"/>
      <c r="I104" s="243"/>
      <c r="J104" s="243"/>
      <c r="K104" s="239"/>
    </row>
    <row r="105" spans="1:11" ht="15" x14ac:dyDescent="0.25">
      <c r="A105" s="239">
        <f t="shared" si="1"/>
        <v>102</v>
      </c>
      <c r="B105" s="250"/>
      <c r="C105" s="250"/>
      <c r="D105" s="248"/>
      <c r="E105" s="250"/>
      <c r="F105" s="248"/>
      <c r="G105" s="250"/>
      <c r="H105" s="239"/>
      <c r="I105" s="243"/>
      <c r="J105" s="243"/>
      <c r="K105" s="239"/>
    </row>
    <row r="106" spans="1:11" ht="15" x14ac:dyDescent="0.25">
      <c r="A106" s="239">
        <f t="shared" si="1"/>
        <v>103</v>
      </c>
      <c r="B106" s="250"/>
      <c r="C106" s="250"/>
      <c r="D106" s="248"/>
      <c r="E106" s="250"/>
      <c r="F106" s="248"/>
      <c r="G106" s="250"/>
      <c r="H106" s="239"/>
      <c r="I106" s="243"/>
      <c r="J106" s="243"/>
      <c r="K106" s="239"/>
    </row>
    <row r="107" spans="1:11" ht="15" x14ac:dyDescent="0.25">
      <c r="A107" s="239">
        <f t="shared" si="1"/>
        <v>104</v>
      </c>
      <c r="B107" s="250"/>
      <c r="C107" s="250"/>
      <c r="D107" s="248"/>
      <c r="E107" s="250"/>
      <c r="F107" s="248"/>
      <c r="G107" s="250"/>
      <c r="H107" s="239"/>
      <c r="I107" s="243"/>
      <c r="J107" s="243"/>
      <c r="K107" s="239"/>
    </row>
    <row r="108" spans="1:11" ht="15" x14ac:dyDescent="0.25">
      <c r="A108" s="239"/>
      <c r="B108" s="250"/>
      <c r="C108" s="250"/>
      <c r="D108" s="248"/>
      <c r="E108" s="250"/>
      <c r="F108" s="248"/>
      <c r="G108" s="250"/>
      <c r="H108" s="239"/>
      <c r="I108" s="243"/>
      <c r="J108" s="243"/>
      <c r="K108" s="239"/>
    </row>
    <row r="109" spans="1:11" ht="15" x14ac:dyDescent="0.25">
      <c r="A109" s="247"/>
      <c r="B109" s="242"/>
      <c r="C109" s="242"/>
      <c r="D109" s="244">
        <f>SUM(D4:D108)</f>
        <v>1740000</v>
      </c>
      <c r="E109" s="255"/>
      <c r="F109" s="253"/>
      <c r="G109" s="244"/>
      <c r="H109" s="247"/>
      <c r="I109" s="246"/>
      <c r="J109" s="246"/>
      <c r="K109" s="247"/>
    </row>
    <row r="110" spans="1:11" ht="15" x14ac:dyDescent="0.25">
      <c r="A110" s="239"/>
      <c r="B110" s="239"/>
      <c r="C110" s="239"/>
      <c r="D110" s="243"/>
      <c r="E110" s="239"/>
      <c r="F110" s="243"/>
      <c r="G110" s="239"/>
      <c r="H110" s="239"/>
      <c r="I110" s="243"/>
      <c r="J110" s="243"/>
      <c r="K110" s="239"/>
    </row>
    <row r="111" spans="1:11" ht="15" x14ac:dyDescent="0.25">
      <c r="A111" s="239"/>
      <c r="B111" s="239"/>
      <c r="C111" s="239"/>
      <c r="D111" s="243"/>
      <c r="E111" s="243"/>
      <c r="F111" s="243"/>
      <c r="G111" s="239"/>
      <c r="H111" s="239"/>
      <c r="I111" s="243"/>
      <c r="J111" s="243"/>
      <c r="K111" s="239"/>
    </row>
    <row r="112" spans="1:11" ht="15" x14ac:dyDescent="0.25">
      <c r="A112" s="239"/>
      <c r="B112" s="239"/>
      <c r="C112" s="239"/>
      <c r="D112" s="243"/>
      <c r="E112" s="243"/>
      <c r="F112" s="243"/>
      <c r="G112" s="239"/>
      <c r="H112" s="239"/>
      <c r="I112" s="243"/>
      <c r="J112" s="243"/>
      <c r="K112" s="239"/>
    </row>
    <row r="113" spans="1:11" ht="15" x14ac:dyDescent="0.25">
      <c r="A113" s="239"/>
      <c r="B113" s="239"/>
      <c r="C113" s="239"/>
      <c r="D113" s="243"/>
      <c r="E113" s="243"/>
      <c r="F113" s="243"/>
      <c r="G113" s="239"/>
      <c r="H113" s="239"/>
      <c r="I113" s="243"/>
      <c r="J113" s="243"/>
      <c r="K113" s="239"/>
    </row>
    <row r="114" spans="1:11" ht="15" x14ac:dyDescent="0.25">
      <c r="A114" s="239"/>
      <c r="B114" s="239"/>
      <c r="C114" s="239"/>
      <c r="D114" s="243"/>
      <c r="E114" s="243"/>
      <c r="F114" s="243"/>
      <c r="G114" s="239"/>
      <c r="H114" s="239"/>
      <c r="I114" s="243"/>
      <c r="J114" s="243"/>
      <c r="K114" s="239"/>
    </row>
    <row r="115" spans="1:11" ht="15" x14ac:dyDescent="0.25">
      <c r="A115" s="239"/>
      <c r="B115" s="239"/>
      <c r="C115" s="239"/>
      <c r="D115" s="243"/>
      <c r="E115" s="243"/>
      <c r="F115" s="243"/>
      <c r="G115" s="239"/>
      <c r="H115" s="239"/>
      <c r="I115" s="243"/>
      <c r="J115" s="243"/>
      <c r="K115" s="239"/>
    </row>
    <row r="116" spans="1:11" ht="15" x14ac:dyDescent="0.25">
      <c r="A116" s="239"/>
      <c r="B116" s="239"/>
      <c r="C116" s="239"/>
      <c r="D116" s="243"/>
      <c r="E116" s="243"/>
      <c r="F116" s="243"/>
      <c r="G116" s="239"/>
      <c r="H116" s="239"/>
      <c r="I116" s="243"/>
      <c r="J116" s="243"/>
      <c r="K116" s="239"/>
    </row>
    <row r="117" spans="1:11" ht="15" x14ac:dyDescent="0.25">
      <c r="A117" s="239"/>
      <c r="B117" s="239"/>
      <c r="C117" s="239"/>
      <c r="D117" s="243"/>
      <c r="E117" s="245">
        <f>SUM(E111:E116)</f>
        <v>0</v>
      </c>
      <c r="F117" s="243"/>
      <c r="G117" s="239"/>
      <c r="H117" s="239"/>
      <c r="I117" s="243"/>
      <c r="J117" s="243"/>
      <c r="K117" s="239"/>
    </row>
    <row r="118" spans="1:11" ht="15" x14ac:dyDescent="0.25">
      <c r="A118" s="239"/>
      <c r="B118" s="239"/>
      <c r="C118" s="239"/>
      <c r="D118" s="243"/>
      <c r="E118" s="239"/>
      <c r="F118" s="243"/>
      <c r="G118" s="239"/>
      <c r="H118" s="239"/>
      <c r="I118" s="243"/>
      <c r="J118" s="243"/>
      <c r="K118" s="239"/>
    </row>
    <row r="119" spans="1:11" ht="15" x14ac:dyDescent="0.25">
      <c r="A119" s="239"/>
      <c r="B119" s="239"/>
      <c r="C119" s="239"/>
      <c r="D119" s="243"/>
      <c r="E119" s="245">
        <f>D109-E117</f>
        <v>1740000</v>
      </c>
      <c r="F119" s="243"/>
      <c r="G119" s="239"/>
      <c r="H119" s="239"/>
      <c r="I119" s="243"/>
      <c r="J119" s="243"/>
      <c r="K119" s="239"/>
    </row>
  </sheetData>
  <mergeCells count="2">
    <mergeCell ref="I3:K3"/>
    <mergeCell ref="I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C2AC-2F70-4E2D-AC9E-DCD518985413}">
  <dimension ref="A1:F2"/>
  <sheetViews>
    <sheetView topLeftCell="C1" workbookViewId="0">
      <selection activeCell="A3" sqref="A3"/>
    </sheetView>
  </sheetViews>
  <sheetFormatPr defaultRowHeight="13.5" x14ac:dyDescent="0.15"/>
  <sheetData>
    <row r="1" spans="1:6" ht="15" x14ac:dyDescent="0.25">
      <c r="A1" s="240" t="s">
        <v>579</v>
      </c>
    </row>
    <row r="2" spans="1:6" ht="15" x14ac:dyDescent="0.25">
      <c r="A2" s="240" t="s">
        <v>580</v>
      </c>
      <c r="B2" s="240" t="s">
        <v>582</v>
      </c>
      <c r="C2" s="240" t="s">
        <v>583</v>
      </c>
      <c r="D2" s="240" t="s">
        <v>584</v>
      </c>
      <c r="E2" s="240" t="s">
        <v>581</v>
      </c>
      <c r="F2" s="240" t="s">
        <v>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811E-F61E-4AA1-BB8B-A78AB9B44038}">
  <dimension ref="A1:P256"/>
  <sheetViews>
    <sheetView tabSelected="1" topLeftCell="B51" workbookViewId="0">
      <selection activeCell="M61" sqref="M61"/>
    </sheetView>
  </sheetViews>
  <sheetFormatPr defaultRowHeight="13.5" x14ac:dyDescent="0.15"/>
  <cols>
    <col min="2" max="2" width="4.625" customWidth="1"/>
    <col min="3" max="3" width="21.125" customWidth="1"/>
    <col min="4" max="4" width="15.875" customWidth="1"/>
    <col min="5" max="5" width="13" customWidth="1"/>
    <col min="6" max="6" width="14.875" customWidth="1"/>
    <col min="7" max="7" width="14" hidden="1" customWidth="1"/>
    <col min="8" max="8" width="3" hidden="1" customWidth="1"/>
    <col min="9" max="9" width="17.25" customWidth="1"/>
    <col min="10" max="10" width="14.5" customWidth="1"/>
    <col min="11" max="11" width="18.625" customWidth="1"/>
    <col min="12" max="12" width="18.75" customWidth="1"/>
  </cols>
  <sheetData>
    <row r="1" spans="1:16" ht="19.5" customHeight="1" thickBot="1" x14ac:dyDescent="0.35">
      <c r="B1" s="20" t="s">
        <v>0</v>
      </c>
      <c r="C1" s="21" t="s">
        <v>1</v>
      </c>
      <c r="D1" s="21" t="s">
        <v>2</v>
      </c>
      <c r="E1" s="22" t="s">
        <v>3</v>
      </c>
      <c r="F1" s="21" t="s">
        <v>4</v>
      </c>
      <c r="G1" s="23" t="s">
        <v>5</v>
      </c>
      <c r="H1" s="21" t="s">
        <v>6</v>
      </c>
      <c r="I1" s="24" t="s">
        <v>7</v>
      </c>
      <c r="J1" s="25" t="s">
        <v>8</v>
      </c>
      <c r="K1" s="25" t="s">
        <v>9</v>
      </c>
      <c r="L1" s="26" t="s">
        <v>10</v>
      </c>
      <c r="M1" s="27" t="s">
        <v>11</v>
      </c>
      <c r="N1" s="28" t="s">
        <v>12</v>
      </c>
      <c r="O1" s="29" t="s">
        <v>13</v>
      </c>
      <c r="P1" s="30"/>
    </row>
    <row r="2" spans="1:16" ht="15.75" x14ac:dyDescent="0.25">
      <c r="A2">
        <v>1</v>
      </c>
      <c r="B2" s="32">
        <v>1</v>
      </c>
      <c r="C2" s="33" t="s">
        <v>14</v>
      </c>
      <c r="D2" s="33" t="s">
        <v>15</v>
      </c>
      <c r="E2" s="34" t="s">
        <v>16</v>
      </c>
      <c r="F2" s="33" t="s">
        <v>17</v>
      </c>
      <c r="G2" s="35">
        <v>1010521012</v>
      </c>
      <c r="H2" s="33"/>
      <c r="I2" s="36">
        <v>290000</v>
      </c>
      <c r="J2" s="37">
        <f>'term one 2026'!L2</f>
        <v>0</v>
      </c>
      <c r="K2" s="38">
        <f>100000+150000+40000</f>
        <v>290000</v>
      </c>
      <c r="L2" s="39">
        <f t="shared" ref="L2:L66" si="0">I2+J2-K2</f>
        <v>0</v>
      </c>
      <c r="M2" s="40"/>
      <c r="N2" s="41"/>
      <c r="O2" s="42"/>
      <c r="P2" s="42"/>
    </row>
    <row r="3" spans="1:16" ht="15.75" x14ac:dyDescent="0.25">
      <c r="A3">
        <v>2</v>
      </c>
      <c r="B3" s="32">
        <v>2</v>
      </c>
      <c r="C3" s="44" t="s">
        <v>18</v>
      </c>
      <c r="D3" s="44" t="s">
        <v>19</v>
      </c>
      <c r="E3" s="45" t="s">
        <v>20</v>
      </c>
      <c r="F3" s="44" t="s">
        <v>17</v>
      </c>
      <c r="G3" s="46">
        <v>1010607442</v>
      </c>
      <c r="H3" s="44"/>
      <c r="I3" s="47">
        <v>290000</v>
      </c>
      <c r="J3" s="37">
        <f>'term one 2026'!L3</f>
        <v>0</v>
      </c>
      <c r="K3" s="49">
        <f>200000+90000</f>
        <v>290000</v>
      </c>
      <c r="L3" s="39">
        <f t="shared" si="0"/>
        <v>0</v>
      </c>
      <c r="M3" s="50"/>
      <c r="N3" s="41"/>
      <c r="O3" s="42"/>
      <c r="P3" s="42"/>
    </row>
    <row r="4" spans="1:16" ht="15.75" x14ac:dyDescent="0.25">
      <c r="A4">
        <v>3</v>
      </c>
      <c r="B4" s="32">
        <v>3</v>
      </c>
      <c r="C4" s="44" t="s">
        <v>21</v>
      </c>
      <c r="D4" s="44" t="s">
        <v>22</v>
      </c>
      <c r="E4" s="45"/>
      <c r="F4" s="44" t="s">
        <v>17</v>
      </c>
      <c r="G4" s="46">
        <v>1010668240</v>
      </c>
      <c r="H4" s="44"/>
      <c r="I4" s="47">
        <v>200000</v>
      </c>
      <c r="J4" s="37">
        <f>'term one 2026'!L4</f>
        <v>0</v>
      </c>
      <c r="K4" s="49">
        <f>100000+50000+50000</f>
        <v>200000</v>
      </c>
      <c r="L4" s="39">
        <f t="shared" si="0"/>
        <v>0</v>
      </c>
      <c r="M4" s="50"/>
      <c r="N4" s="41"/>
      <c r="O4" s="42"/>
      <c r="P4" s="42"/>
    </row>
    <row r="5" spans="1:16" ht="15.75" x14ac:dyDescent="0.25">
      <c r="A5">
        <v>4</v>
      </c>
      <c r="B5" s="32">
        <v>4</v>
      </c>
      <c r="C5" s="44" t="s">
        <v>585</v>
      </c>
      <c r="D5" s="44" t="s">
        <v>23</v>
      </c>
      <c r="E5" s="45" t="s">
        <v>24</v>
      </c>
      <c r="F5" s="44" t="s">
        <v>17</v>
      </c>
      <c r="G5" s="46">
        <v>1010680309</v>
      </c>
      <c r="H5" s="44"/>
      <c r="I5" s="47">
        <v>270000</v>
      </c>
      <c r="J5" s="37">
        <f>'term one 2026'!L5</f>
        <v>0</v>
      </c>
      <c r="K5" s="49">
        <f>200000+70000</f>
        <v>270000</v>
      </c>
      <c r="L5" s="39">
        <f t="shared" si="0"/>
        <v>0</v>
      </c>
      <c r="M5" s="50"/>
      <c r="N5" s="41" t="s">
        <v>221</v>
      </c>
      <c r="O5" s="42"/>
      <c r="P5" s="42"/>
    </row>
    <row r="6" spans="1:16" ht="15.75" x14ac:dyDescent="0.25">
      <c r="A6">
        <v>5</v>
      </c>
      <c r="B6" s="32">
        <v>5</v>
      </c>
      <c r="C6" s="44" t="s">
        <v>25</v>
      </c>
      <c r="D6" s="44" t="s">
        <v>26</v>
      </c>
      <c r="E6" s="45" t="s">
        <v>27</v>
      </c>
      <c r="F6" s="44" t="s">
        <v>17</v>
      </c>
      <c r="G6" s="46"/>
      <c r="H6" s="44"/>
      <c r="I6" s="47">
        <f>290000+300000</f>
        <v>590000</v>
      </c>
      <c r="J6" s="37">
        <f>'term one 2026'!L6</f>
        <v>0</v>
      </c>
      <c r="K6" s="49">
        <f>590000</f>
        <v>590000</v>
      </c>
      <c r="L6" s="39">
        <f t="shared" si="0"/>
        <v>0</v>
      </c>
      <c r="M6" s="50"/>
      <c r="N6" s="41"/>
      <c r="O6" s="42"/>
      <c r="P6" s="42"/>
    </row>
    <row r="7" spans="1:16" ht="15.75" x14ac:dyDescent="0.25">
      <c r="A7">
        <v>6</v>
      </c>
      <c r="B7" s="32">
        <v>6</v>
      </c>
      <c r="C7" s="44" t="s">
        <v>28</v>
      </c>
      <c r="D7" s="44" t="s">
        <v>29</v>
      </c>
      <c r="E7" s="45"/>
      <c r="F7" s="44" t="s">
        <v>17</v>
      </c>
      <c r="G7" s="46"/>
      <c r="H7" s="44"/>
      <c r="I7" s="47">
        <f>200000</f>
        <v>200000</v>
      </c>
      <c r="J7" s="37">
        <f>'term one 2026'!L7</f>
        <v>0</v>
      </c>
      <c r="K7" s="49">
        <f>200000</f>
        <v>200000</v>
      </c>
      <c r="L7" s="39"/>
      <c r="M7" s="50"/>
      <c r="N7" s="41"/>
      <c r="O7" s="42"/>
      <c r="P7" s="42"/>
    </row>
    <row r="8" spans="1:16" ht="15.75" x14ac:dyDescent="0.25">
      <c r="A8">
        <v>7</v>
      </c>
      <c r="B8" s="32">
        <v>7</v>
      </c>
      <c r="C8" s="52" t="s">
        <v>30</v>
      </c>
      <c r="D8" s="52" t="s">
        <v>31</v>
      </c>
      <c r="E8" s="53" t="s">
        <v>32</v>
      </c>
      <c r="F8" s="52" t="s">
        <v>17</v>
      </c>
      <c r="G8" s="54"/>
      <c r="H8" s="52"/>
      <c r="I8" s="55">
        <v>80000</v>
      </c>
      <c r="J8" s="37">
        <f>'term one 2026'!L8</f>
        <v>0</v>
      </c>
      <c r="K8" s="55"/>
      <c r="L8" s="55">
        <f t="shared" si="0"/>
        <v>80000</v>
      </c>
      <c r="M8" s="56"/>
      <c r="N8" s="57"/>
      <c r="O8" s="58"/>
      <c r="P8" s="58"/>
    </row>
    <row r="9" spans="1:16" ht="15.75" x14ac:dyDescent="0.25">
      <c r="A9">
        <v>8</v>
      </c>
      <c r="B9" s="32">
        <v>8</v>
      </c>
      <c r="C9" s="52" t="s">
        <v>33</v>
      </c>
      <c r="D9" s="52" t="s">
        <v>34</v>
      </c>
      <c r="E9" s="53" t="s">
        <v>35</v>
      </c>
      <c r="F9" s="52" t="s">
        <v>17</v>
      </c>
      <c r="G9" s="54"/>
      <c r="H9" s="52"/>
      <c r="I9" s="55">
        <v>80000</v>
      </c>
      <c r="J9" s="37">
        <f>'term one 2026'!L9</f>
        <v>40000</v>
      </c>
      <c r="K9" s="55"/>
      <c r="L9" s="55">
        <f t="shared" si="0"/>
        <v>120000</v>
      </c>
      <c r="M9" s="56"/>
      <c r="N9" s="57"/>
      <c r="O9" s="58"/>
      <c r="P9" s="58"/>
    </row>
    <row r="10" spans="1:16" ht="15.75" x14ac:dyDescent="0.25">
      <c r="A10">
        <v>9</v>
      </c>
      <c r="B10" s="32">
        <v>9</v>
      </c>
      <c r="C10" s="44" t="s">
        <v>36</v>
      </c>
      <c r="D10" s="44" t="s">
        <v>37</v>
      </c>
      <c r="E10" s="45" t="s">
        <v>38</v>
      </c>
      <c r="F10" s="44" t="s">
        <v>17</v>
      </c>
      <c r="G10" s="46"/>
      <c r="H10" s="44"/>
      <c r="I10" s="47">
        <v>200000</v>
      </c>
      <c r="J10" s="37">
        <f>'term one 2026'!L10</f>
        <v>0</v>
      </c>
      <c r="K10" s="49">
        <f>200000</f>
        <v>200000</v>
      </c>
      <c r="L10" s="39">
        <f t="shared" si="0"/>
        <v>0</v>
      </c>
      <c r="M10" s="50" t="s">
        <v>221</v>
      </c>
      <c r="N10" s="41"/>
      <c r="O10" s="42"/>
      <c r="P10" s="42"/>
    </row>
    <row r="11" spans="1:16" ht="15.75" x14ac:dyDescent="0.25">
      <c r="A11">
        <v>10</v>
      </c>
      <c r="B11" s="32">
        <v>10</v>
      </c>
      <c r="C11" s="44" t="s">
        <v>39</v>
      </c>
      <c r="D11" s="44" t="s">
        <v>40</v>
      </c>
      <c r="E11" s="45"/>
      <c r="F11" s="44" t="s">
        <v>17</v>
      </c>
      <c r="G11" s="46"/>
      <c r="H11" s="44"/>
      <c r="I11" s="47">
        <v>290000</v>
      </c>
      <c r="J11" s="37">
        <f>'term one 2026'!L11</f>
        <v>0</v>
      </c>
      <c r="K11" s="49">
        <f>290000</f>
        <v>290000</v>
      </c>
      <c r="L11" s="39">
        <f t="shared" si="0"/>
        <v>0</v>
      </c>
      <c r="M11" s="50"/>
      <c r="N11" s="41"/>
      <c r="O11" s="42"/>
      <c r="P11" s="42"/>
    </row>
    <row r="12" spans="1:16" ht="15.75" x14ac:dyDescent="0.25">
      <c r="A12">
        <v>11</v>
      </c>
      <c r="B12" s="32">
        <v>11</v>
      </c>
      <c r="C12" s="44" t="s">
        <v>41</v>
      </c>
      <c r="D12" s="44" t="s">
        <v>42</v>
      </c>
      <c r="E12" s="45"/>
      <c r="F12" s="44" t="s">
        <v>17</v>
      </c>
      <c r="G12" s="46"/>
      <c r="H12" s="44"/>
      <c r="I12" s="47">
        <f>260000</f>
        <v>260000</v>
      </c>
      <c r="J12" s="37">
        <f>'term one 2026'!L12</f>
        <v>0</v>
      </c>
      <c r="K12" s="49">
        <f>100000</f>
        <v>100000</v>
      </c>
      <c r="L12" s="39">
        <f t="shared" si="0"/>
        <v>160000</v>
      </c>
      <c r="M12" s="50" t="s">
        <v>43</v>
      </c>
      <c r="N12" s="41" t="s">
        <v>738</v>
      </c>
      <c r="O12" s="42"/>
      <c r="P12" s="42"/>
    </row>
    <row r="13" spans="1:16" ht="15.75" x14ac:dyDescent="0.25">
      <c r="A13">
        <v>12</v>
      </c>
      <c r="B13" s="32">
        <v>12</v>
      </c>
      <c r="C13" s="60" t="s">
        <v>44</v>
      </c>
      <c r="D13" s="60" t="s">
        <v>45</v>
      </c>
      <c r="E13" s="61"/>
      <c r="F13" s="60" t="s">
        <v>17</v>
      </c>
      <c r="G13" s="62"/>
      <c r="H13" s="60"/>
      <c r="I13" s="63">
        <f>290000+250000</f>
        <v>540000</v>
      </c>
      <c r="J13" s="37">
        <f>'term one 2026'!L13</f>
        <v>0</v>
      </c>
      <c r="K13" s="63">
        <f>540000</f>
        <v>540000</v>
      </c>
      <c r="L13" s="64">
        <f t="shared" si="0"/>
        <v>0</v>
      </c>
      <c r="M13" s="65"/>
      <c r="N13" s="66"/>
      <c r="O13" s="67"/>
      <c r="P13" s="67"/>
    </row>
    <row r="14" spans="1:16" ht="15.75" x14ac:dyDescent="0.25">
      <c r="A14">
        <v>13</v>
      </c>
      <c r="B14" s="32">
        <v>13</v>
      </c>
      <c r="C14" s="44" t="s">
        <v>46</v>
      </c>
      <c r="D14" s="44" t="s">
        <v>47</v>
      </c>
      <c r="E14" s="45"/>
      <c r="F14" s="44" t="s">
        <v>48</v>
      </c>
      <c r="G14" s="46"/>
      <c r="H14" s="44"/>
      <c r="I14" s="47">
        <f>260000+100000</f>
        <v>360000</v>
      </c>
      <c r="J14" s="37">
        <f>'term one 2026'!L14</f>
        <v>60000</v>
      </c>
      <c r="K14" s="49">
        <f>100000+130000</f>
        <v>230000</v>
      </c>
      <c r="L14" s="39">
        <f t="shared" si="0"/>
        <v>190000</v>
      </c>
      <c r="M14" s="50" t="s">
        <v>49</v>
      </c>
      <c r="N14" s="69">
        <v>260000</v>
      </c>
      <c r="O14" s="42"/>
      <c r="P14" s="42"/>
    </row>
    <row r="15" spans="1:16" ht="15.75" x14ac:dyDescent="0.25">
      <c r="A15">
        <v>14</v>
      </c>
      <c r="B15" s="32">
        <v>14</v>
      </c>
      <c r="C15" s="44" t="s">
        <v>50</v>
      </c>
      <c r="D15" s="44" t="s">
        <v>51</v>
      </c>
      <c r="E15" s="45" t="s">
        <v>52</v>
      </c>
      <c r="F15" s="44" t="s">
        <v>17</v>
      </c>
      <c r="G15" s="46"/>
      <c r="H15" s="44"/>
      <c r="I15" s="47">
        <v>250000</v>
      </c>
      <c r="J15" s="37">
        <f>'term one 2026'!L15</f>
        <v>0</v>
      </c>
      <c r="K15" s="49">
        <f>100000</f>
        <v>100000</v>
      </c>
      <c r="L15" s="39">
        <f t="shared" si="0"/>
        <v>150000</v>
      </c>
      <c r="M15" s="50"/>
      <c r="N15" s="41"/>
      <c r="O15" s="42"/>
      <c r="P15" s="42"/>
    </row>
    <row r="16" spans="1:16" ht="15.75" x14ac:dyDescent="0.25">
      <c r="A16">
        <v>15</v>
      </c>
      <c r="B16" s="32">
        <v>15</v>
      </c>
      <c r="C16" s="86" t="s">
        <v>537</v>
      </c>
      <c r="D16" s="86" t="s">
        <v>538</v>
      </c>
      <c r="E16" s="87"/>
      <c r="F16" s="86" t="s">
        <v>17</v>
      </c>
      <c r="G16" s="88"/>
      <c r="H16" s="86"/>
      <c r="I16" s="89">
        <v>80000</v>
      </c>
      <c r="J16" s="37">
        <f>'term one 2026'!L16</f>
        <v>0</v>
      </c>
      <c r="K16" s="89"/>
      <c r="L16" s="90">
        <f t="shared" si="0"/>
        <v>80000</v>
      </c>
      <c r="M16" s="91"/>
      <c r="N16" s="92"/>
      <c r="O16" s="93"/>
      <c r="P16" s="93"/>
    </row>
    <row r="17" spans="1:16" ht="15.75" x14ac:dyDescent="0.25">
      <c r="B17" s="32"/>
      <c r="C17" s="44"/>
      <c r="D17" s="44"/>
      <c r="E17" s="45"/>
      <c r="F17" s="44" t="s">
        <v>17</v>
      </c>
      <c r="G17" s="46"/>
      <c r="H17" s="44"/>
      <c r="I17" s="47"/>
      <c r="J17" s="37">
        <f>'term one 2026'!L18</f>
        <v>0</v>
      </c>
      <c r="K17" s="49"/>
      <c r="L17" s="39">
        <f t="shared" si="0"/>
        <v>0</v>
      </c>
      <c r="M17" s="50"/>
      <c r="N17" s="41"/>
      <c r="O17" s="42"/>
      <c r="P17" s="42"/>
    </row>
    <row r="18" spans="1:16" ht="15.75" x14ac:dyDescent="0.25">
      <c r="B18" s="32"/>
      <c r="C18" s="44"/>
      <c r="D18" s="44"/>
      <c r="E18" s="45"/>
      <c r="F18" s="44" t="s">
        <v>17</v>
      </c>
      <c r="G18" s="46"/>
      <c r="H18" s="44"/>
      <c r="I18" s="47"/>
      <c r="J18" s="37">
        <f>'term one 2026'!L19</f>
        <v>0</v>
      </c>
      <c r="K18" s="49"/>
      <c r="L18" s="39">
        <f t="shared" si="0"/>
        <v>0</v>
      </c>
      <c r="M18" s="50"/>
      <c r="N18" s="41"/>
      <c r="O18" s="42"/>
      <c r="P18" s="42"/>
    </row>
    <row r="19" spans="1:16" ht="15.75" x14ac:dyDescent="0.25">
      <c r="B19" s="32"/>
      <c r="C19" s="44"/>
      <c r="D19" s="44"/>
      <c r="E19" s="45"/>
      <c r="F19" s="44" t="s">
        <v>17</v>
      </c>
      <c r="G19" s="46"/>
      <c r="H19" s="44"/>
      <c r="I19" s="47"/>
      <c r="J19" s="37">
        <f>'term one 2026'!L20</f>
        <v>0</v>
      </c>
      <c r="K19" s="49"/>
      <c r="L19" s="39">
        <f t="shared" si="0"/>
        <v>0</v>
      </c>
      <c r="M19" s="50"/>
      <c r="N19" s="41"/>
      <c r="O19" s="42"/>
      <c r="P19" s="42"/>
    </row>
    <row r="20" spans="1:16" ht="15.75" x14ac:dyDescent="0.25">
      <c r="B20" s="32"/>
      <c r="C20" s="44"/>
      <c r="D20" s="44"/>
      <c r="E20" s="45"/>
      <c r="F20" s="44" t="s">
        <v>17</v>
      </c>
      <c r="G20" s="46"/>
      <c r="H20" s="44"/>
      <c r="I20" s="47"/>
      <c r="J20" s="37">
        <f>'term one 2026'!L21</f>
        <v>0</v>
      </c>
      <c r="K20" s="49"/>
      <c r="L20" s="39">
        <f t="shared" si="0"/>
        <v>0</v>
      </c>
      <c r="M20" s="50"/>
      <c r="N20" s="41"/>
      <c r="O20" s="42"/>
      <c r="P20" s="42"/>
    </row>
    <row r="21" spans="1:16" ht="20.25" x14ac:dyDescent="0.25">
      <c r="B21" s="68"/>
      <c r="C21" s="44"/>
      <c r="D21" s="70" t="s">
        <v>48</v>
      </c>
      <c r="E21" s="45"/>
      <c r="F21" s="44"/>
      <c r="G21" s="46"/>
      <c r="H21" s="44"/>
      <c r="I21" s="47">
        <v>0</v>
      </c>
      <c r="J21" s="37">
        <f>'term one 2026'!L22</f>
        <v>0</v>
      </c>
      <c r="K21" s="49"/>
      <c r="L21" s="39">
        <f t="shared" si="0"/>
        <v>0</v>
      </c>
      <c r="M21" s="50"/>
      <c r="N21" s="41"/>
      <c r="O21" s="42"/>
      <c r="P21" s="42"/>
    </row>
    <row r="22" spans="1:16" ht="15.75" x14ac:dyDescent="0.25">
      <c r="A22">
        <v>16</v>
      </c>
      <c r="B22" s="68">
        <v>1</v>
      </c>
      <c r="C22" s="44" t="s">
        <v>22</v>
      </c>
      <c r="D22" s="44"/>
      <c r="E22" s="45" t="s">
        <v>53</v>
      </c>
      <c r="F22" s="44" t="s">
        <v>48</v>
      </c>
      <c r="G22" s="46">
        <v>1008799582</v>
      </c>
      <c r="H22" s="44"/>
      <c r="I22" s="47">
        <f>290000</f>
        <v>290000</v>
      </c>
      <c r="J22" s="37">
        <f>'term one 2026'!L23</f>
        <v>0</v>
      </c>
      <c r="K22" s="49">
        <f>115000+50000+50000+40000+15000+20000</f>
        <v>290000</v>
      </c>
      <c r="L22" s="39">
        <f t="shared" si="0"/>
        <v>0</v>
      </c>
      <c r="M22" s="50"/>
      <c r="N22" s="41"/>
      <c r="O22" s="42"/>
      <c r="P22" s="42"/>
    </row>
    <row r="23" spans="1:16" ht="15.75" x14ac:dyDescent="0.25">
      <c r="A23">
        <v>17</v>
      </c>
      <c r="B23" s="68">
        <v>2</v>
      </c>
      <c r="C23" s="44" t="s">
        <v>54</v>
      </c>
      <c r="D23" s="44"/>
      <c r="E23" s="45" t="s">
        <v>55</v>
      </c>
      <c r="F23" s="44" t="s">
        <v>48</v>
      </c>
      <c r="G23" s="46">
        <v>1008807850</v>
      </c>
      <c r="H23" s="44"/>
      <c r="I23" s="47">
        <f>290000</f>
        <v>290000</v>
      </c>
      <c r="J23" s="37">
        <f>'term one 2026'!L24</f>
        <v>1000</v>
      </c>
      <c r="K23" s="49">
        <f>101000+50000+59000</f>
        <v>210000</v>
      </c>
      <c r="L23" s="39">
        <f t="shared" si="0"/>
        <v>81000</v>
      </c>
      <c r="M23" s="50"/>
      <c r="N23" s="71"/>
      <c r="O23" s="42"/>
      <c r="P23" s="42"/>
    </row>
    <row r="24" spans="1:16" ht="15.75" x14ac:dyDescent="0.25">
      <c r="A24">
        <v>18</v>
      </c>
      <c r="B24" s="68">
        <v>3</v>
      </c>
      <c r="C24" s="72" t="s">
        <v>56</v>
      </c>
      <c r="D24" s="72"/>
      <c r="E24" s="73" t="s">
        <v>57</v>
      </c>
      <c r="F24" s="44" t="s">
        <v>48</v>
      </c>
      <c r="G24" s="74">
        <v>1008878539</v>
      </c>
      <c r="H24" s="72"/>
      <c r="I24" s="47">
        <f>'[1]1st term 2025'!J8</f>
        <v>80000</v>
      </c>
      <c r="J24" s="37">
        <f>'term one 2026'!L25</f>
        <v>0</v>
      </c>
      <c r="K24" s="75">
        <f>80000</f>
        <v>80000</v>
      </c>
      <c r="L24" s="39">
        <f t="shared" si="0"/>
        <v>0</v>
      </c>
      <c r="M24" s="76" t="s">
        <v>58</v>
      </c>
      <c r="N24" s="41"/>
      <c r="O24" s="42"/>
      <c r="P24" s="42"/>
    </row>
    <row r="25" spans="1:16" ht="15.75" x14ac:dyDescent="0.25">
      <c r="A25">
        <v>19</v>
      </c>
      <c r="B25" s="68">
        <v>4</v>
      </c>
      <c r="C25" s="72" t="s">
        <v>62</v>
      </c>
      <c r="D25" s="72" t="s">
        <v>41</v>
      </c>
      <c r="E25" s="73"/>
      <c r="F25" s="44" t="s">
        <v>48</v>
      </c>
      <c r="G25" s="74"/>
      <c r="H25" s="72"/>
      <c r="I25" s="47">
        <f>'[1]1st term 2025'!J11</f>
        <v>80000</v>
      </c>
      <c r="J25" s="37">
        <f>'term one 2026'!L27</f>
        <v>0</v>
      </c>
      <c r="K25" s="75">
        <f>10000+50000</f>
        <v>60000</v>
      </c>
      <c r="L25" s="39">
        <f t="shared" si="0"/>
        <v>20000</v>
      </c>
      <c r="M25" s="76" t="s">
        <v>63</v>
      </c>
      <c r="N25" s="41"/>
      <c r="O25" s="42"/>
      <c r="P25" s="42"/>
    </row>
    <row r="26" spans="1:16" ht="15.75" x14ac:dyDescent="0.25">
      <c r="A26">
        <v>20</v>
      </c>
      <c r="B26" s="68">
        <v>5</v>
      </c>
      <c r="C26" s="68" t="s">
        <v>64</v>
      </c>
      <c r="D26" s="68" t="s">
        <v>65</v>
      </c>
      <c r="E26" s="79" t="s">
        <v>66</v>
      </c>
      <c r="F26" s="68" t="s">
        <v>48</v>
      </c>
      <c r="G26" s="80">
        <v>1009022251</v>
      </c>
      <c r="H26" s="68"/>
      <c r="I26" s="49">
        <f>260000</f>
        <v>260000</v>
      </c>
      <c r="J26" s="37">
        <f>'term one 2026'!L28</f>
        <v>90000</v>
      </c>
      <c r="K26" s="49">
        <f>150000+100000+50000</f>
        <v>300000</v>
      </c>
      <c r="L26" s="81">
        <f t="shared" si="0"/>
        <v>50000</v>
      </c>
      <c r="M26" s="82" t="s">
        <v>738</v>
      </c>
      <c r="N26" s="83"/>
      <c r="O26" s="84"/>
      <c r="P26" s="84"/>
    </row>
    <row r="27" spans="1:16" ht="15.75" x14ac:dyDescent="0.25">
      <c r="A27">
        <v>21</v>
      </c>
      <c r="B27" s="68">
        <v>6</v>
      </c>
      <c r="C27" s="44" t="s">
        <v>67</v>
      </c>
      <c r="D27" s="44" t="s">
        <v>68</v>
      </c>
      <c r="E27" s="45" t="s">
        <v>69</v>
      </c>
      <c r="F27" s="44" t="s">
        <v>48</v>
      </c>
      <c r="G27" s="46">
        <v>1008940427</v>
      </c>
      <c r="H27" s="44"/>
      <c r="I27" s="47">
        <f>290000</f>
        <v>290000</v>
      </c>
      <c r="J27" s="37">
        <f>'term one 2026'!L29</f>
        <v>-100000</v>
      </c>
      <c r="K27" s="49">
        <f>150000+40000</f>
        <v>190000</v>
      </c>
      <c r="L27" s="39">
        <f t="shared" si="0"/>
        <v>0</v>
      </c>
      <c r="M27" s="50"/>
      <c r="N27" s="41"/>
      <c r="O27" s="42"/>
      <c r="P27" s="42"/>
    </row>
    <row r="28" spans="1:16" ht="15.75" x14ac:dyDescent="0.25">
      <c r="A28">
        <v>22</v>
      </c>
      <c r="B28" s="68">
        <v>7</v>
      </c>
      <c r="C28" s="86" t="s">
        <v>70</v>
      </c>
      <c r="D28" s="86" t="s">
        <v>71</v>
      </c>
      <c r="E28" s="87" t="s">
        <v>72</v>
      </c>
      <c r="F28" s="86" t="s">
        <v>48</v>
      </c>
      <c r="G28" s="88">
        <v>1009102896</v>
      </c>
      <c r="H28" s="86"/>
      <c r="I28" s="89">
        <f>'[1]1st term 2025'!J17+30000</f>
        <v>290000</v>
      </c>
      <c r="J28" s="37">
        <f>'term one 2026'!L30</f>
        <v>0</v>
      </c>
      <c r="K28" s="89">
        <f>290000</f>
        <v>290000</v>
      </c>
      <c r="L28" s="90">
        <f t="shared" si="0"/>
        <v>0</v>
      </c>
      <c r="M28" s="91"/>
      <c r="N28" s="92"/>
      <c r="O28" s="93"/>
      <c r="P28" s="93"/>
    </row>
    <row r="29" spans="1:16" ht="15.75" x14ac:dyDescent="0.25">
      <c r="A29">
        <v>23</v>
      </c>
      <c r="B29" s="68">
        <v>8</v>
      </c>
      <c r="C29" s="44" t="s">
        <v>73</v>
      </c>
      <c r="D29" s="44" t="s">
        <v>74</v>
      </c>
      <c r="E29" s="45" t="s">
        <v>57</v>
      </c>
      <c r="F29" s="44" t="s">
        <v>48</v>
      </c>
      <c r="G29" s="46">
        <v>1009426740</v>
      </c>
      <c r="H29" s="44"/>
      <c r="I29" s="47">
        <f>290000+60000+60000</f>
        <v>410000</v>
      </c>
      <c r="J29" s="37">
        <f>'term one 2026'!L31</f>
        <v>0</v>
      </c>
      <c r="K29" s="49">
        <f>130000+100000+180000</f>
        <v>410000</v>
      </c>
      <c r="L29" s="39">
        <f t="shared" si="0"/>
        <v>0</v>
      </c>
      <c r="M29" s="50" t="s">
        <v>75</v>
      </c>
      <c r="N29" s="41"/>
      <c r="O29" s="42"/>
      <c r="P29" s="42"/>
    </row>
    <row r="30" spans="1:16" ht="15.75" x14ac:dyDescent="0.25">
      <c r="A30">
        <v>24</v>
      </c>
      <c r="B30" s="68">
        <v>9</v>
      </c>
      <c r="C30" s="44" t="s">
        <v>76</v>
      </c>
      <c r="D30" s="44"/>
      <c r="E30" s="45" t="s">
        <v>77</v>
      </c>
      <c r="F30" s="44" t="s">
        <v>48</v>
      </c>
      <c r="G30" s="46">
        <v>1008793531</v>
      </c>
      <c r="H30" s="44"/>
      <c r="I30" s="47">
        <f>220000</f>
        <v>220000</v>
      </c>
      <c r="J30" s="37">
        <v>0</v>
      </c>
      <c r="K30" s="49">
        <f>50000+30000</f>
        <v>80000</v>
      </c>
      <c r="L30" s="39">
        <f t="shared" si="0"/>
        <v>140000</v>
      </c>
      <c r="M30" s="94"/>
      <c r="N30" s="41"/>
      <c r="O30" s="41"/>
      <c r="P30" s="41"/>
    </row>
    <row r="31" spans="1:16" ht="15.75" x14ac:dyDescent="0.25">
      <c r="A31">
        <v>25</v>
      </c>
      <c r="B31" s="68">
        <v>10</v>
      </c>
      <c r="C31" s="44" t="s">
        <v>79</v>
      </c>
      <c r="D31" s="44" t="s">
        <v>80</v>
      </c>
      <c r="E31" s="45" t="s">
        <v>81</v>
      </c>
      <c r="F31" s="44" t="s">
        <v>48</v>
      </c>
      <c r="G31" s="46">
        <v>1009836293</v>
      </c>
      <c r="H31" s="44"/>
      <c r="I31" s="47">
        <f>260000+30000</f>
        <v>290000</v>
      </c>
      <c r="J31" s="37">
        <f>'term one 2026'!L33</f>
        <v>0</v>
      </c>
      <c r="K31" s="49">
        <f>20000+270000</f>
        <v>290000</v>
      </c>
      <c r="L31" s="39">
        <f t="shared" si="0"/>
        <v>0</v>
      </c>
      <c r="M31" s="50"/>
      <c r="N31" s="41"/>
      <c r="O31" s="42"/>
      <c r="P31" s="42"/>
    </row>
    <row r="32" spans="1:16" ht="15.75" x14ac:dyDescent="0.25">
      <c r="A32">
        <v>26</v>
      </c>
      <c r="B32" s="68">
        <v>11</v>
      </c>
      <c r="C32" s="44" t="s">
        <v>82</v>
      </c>
      <c r="D32" s="44" t="s">
        <v>83</v>
      </c>
      <c r="E32" s="45" t="s">
        <v>84</v>
      </c>
      <c r="F32" s="44" t="s">
        <v>48</v>
      </c>
      <c r="G32" s="46"/>
      <c r="H32" s="44"/>
      <c r="I32" s="47">
        <f>260000+30000</f>
        <v>290000</v>
      </c>
      <c r="J32" s="37">
        <f>'term one 2026'!L34</f>
        <v>145000</v>
      </c>
      <c r="K32" s="49">
        <f>80000+100000+35000</f>
        <v>215000</v>
      </c>
      <c r="L32" s="39">
        <f t="shared" si="0"/>
        <v>220000</v>
      </c>
      <c r="M32" s="50"/>
      <c r="N32" s="41"/>
      <c r="O32" s="42"/>
      <c r="P32" s="42"/>
    </row>
    <row r="33" spans="1:16" ht="15.75" x14ac:dyDescent="0.25">
      <c r="A33">
        <v>27</v>
      </c>
      <c r="B33" s="68">
        <v>12</v>
      </c>
      <c r="C33" s="44" t="s">
        <v>85</v>
      </c>
      <c r="D33" s="50" t="s">
        <v>86</v>
      </c>
      <c r="E33" s="45" t="s">
        <v>87</v>
      </c>
      <c r="F33" s="44" t="s">
        <v>48</v>
      </c>
      <c r="G33" s="43"/>
      <c r="H33" s="44"/>
      <c r="I33" s="47">
        <f>290000+50000</f>
        <v>340000</v>
      </c>
      <c r="J33" s="37">
        <f>'term one 2026'!L35</f>
        <v>0</v>
      </c>
      <c r="K33" s="49">
        <f>340000</f>
        <v>340000</v>
      </c>
      <c r="L33" s="39">
        <f t="shared" si="0"/>
        <v>0</v>
      </c>
      <c r="M33" s="50"/>
      <c r="N33" s="41"/>
      <c r="O33" s="41"/>
      <c r="P33" s="41"/>
    </row>
    <row r="34" spans="1:16" ht="15.75" x14ac:dyDescent="0.25">
      <c r="A34">
        <v>28</v>
      </c>
      <c r="B34" s="68">
        <v>13</v>
      </c>
      <c r="C34" s="44" t="s">
        <v>31</v>
      </c>
      <c r="D34" s="41" t="s">
        <v>716</v>
      </c>
      <c r="E34" s="45"/>
      <c r="F34" s="44" t="s">
        <v>48</v>
      </c>
      <c r="G34" s="43"/>
      <c r="H34" s="44"/>
      <c r="I34" s="47">
        <f>250000</f>
        <v>250000</v>
      </c>
      <c r="J34" s="37">
        <f>'term one 2026'!L36</f>
        <v>0</v>
      </c>
      <c r="K34" s="49">
        <f>130000+30000+35000+55000</f>
        <v>250000</v>
      </c>
      <c r="L34" s="39">
        <f t="shared" si="0"/>
        <v>0</v>
      </c>
      <c r="M34" s="50" t="s">
        <v>754</v>
      </c>
      <c r="N34" s="41"/>
      <c r="O34" s="41"/>
      <c r="P34" s="41"/>
    </row>
    <row r="35" spans="1:16" ht="15.75" x14ac:dyDescent="0.25">
      <c r="A35">
        <v>29</v>
      </c>
      <c r="B35" s="68">
        <v>14</v>
      </c>
      <c r="C35" s="44" t="s">
        <v>726</v>
      </c>
      <c r="D35" s="41" t="s">
        <v>727</v>
      </c>
      <c r="E35" s="45" t="s">
        <v>728</v>
      </c>
      <c r="F35" s="44" t="s">
        <v>48</v>
      </c>
      <c r="G35" s="43"/>
      <c r="H35" s="44"/>
      <c r="I35" s="47">
        <f>250000+50000</f>
        <v>300000</v>
      </c>
      <c r="J35" s="37"/>
      <c r="K35" s="49">
        <f>100000+50000+150000</f>
        <v>300000</v>
      </c>
      <c r="L35" s="39">
        <f t="shared" si="0"/>
        <v>0</v>
      </c>
      <c r="M35" s="50"/>
      <c r="N35" s="41"/>
      <c r="O35" s="41"/>
      <c r="P35" s="41"/>
    </row>
    <row r="36" spans="1:16" ht="22.5" x14ac:dyDescent="0.3">
      <c r="B36" s="68"/>
      <c r="C36" s="44"/>
      <c r="D36" s="95" t="s">
        <v>88</v>
      </c>
      <c r="E36" s="45"/>
      <c r="F36" s="46"/>
      <c r="G36" s="46"/>
      <c r="H36" s="46"/>
      <c r="I36" s="47">
        <f>'[1]1st term 2025'!J23</f>
        <v>0</v>
      </c>
      <c r="J36" s="37">
        <f>'term one 2026'!L37</f>
        <v>0</v>
      </c>
      <c r="K36" s="96"/>
      <c r="L36" s="39">
        <f t="shared" si="0"/>
        <v>0</v>
      </c>
      <c r="M36" s="43"/>
      <c r="N36" s="42"/>
      <c r="O36" s="42"/>
      <c r="P36" s="42"/>
    </row>
    <row r="37" spans="1:16" ht="15.75" x14ac:dyDescent="0.25">
      <c r="A37">
        <v>30</v>
      </c>
      <c r="B37" s="68">
        <v>1</v>
      </c>
      <c r="C37" s="44" t="s">
        <v>89</v>
      </c>
      <c r="D37" s="44" t="s">
        <v>90</v>
      </c>
      <c r="E37" s="45" t="s">
        <v>91</v>
      </c>
      <c r="F37" s="44" t="s">
        <v>88</v>
      </c>
      <c r="G37" s="46">
        <v>1006914417</v>
      </c>
      <c r="H37" s="46"/>
      <c r="I37" s="47">
        <f>'[1]1st term 2025'!J24</f>
        <v>255000</v>
      </c>
      <c r="J37" s="37">
        <f>'term one 2026'!L38</f>
        <v>-70000</v>
      </c>
      <c r="K37" s="96">
        <f>100000+35000+50000</f>
        <v>185000</v>
      </c>
      <c r="L37" s="39">
        <f t="shared" si="0"/>
        <v>0</v>
      </c>
      <c r="M37" s="43" t="s">
        <v>92</v>
      </c>
      <c r="N37" s="42"/>
      <c r="O37" s="42"/>
      <c r="P37" s="42"/>
    </row>
    <row r="38" spans="1:16" ht="15.75" x14ac:dyDescent="0.25">
      <c r="A38">
        <v>31</v>
      </c>
      <c r="B38" s="68">
        <v>2</v>
      </c>
      <c r="C38" s="72" t="s">
        <v>93</v>
      </c>
      <c r="D38" s="72" t="s">
        <v>94</v>
      </c>
      <c r="E38" s="73" t="s">
        <v>95</v>
      </c>
      <c r="F38" s="44" t="s">
        <v>88</v>
      </c>
      <c r="G38" s="74">
        <v>1006914745</v>
      </c>
      <c r="H38" s="74"/>
      <c r="I38" s="47">
        <f>'[1]1st term 2025'!J25+100000</f>
        <v>180000</v>
      </c>
      <c r="J38" s="37">
        <f>'term one 2026'!L39</f>
        <v>0</v>
      </c>
      <c r="K38" s="97">
        <f>180000</f>
        <v>180000</v>
      </c>
      <c r="L38" s="39">
        <f t="shared" si="0"/>
        <v>0</v>
      </c>
      <c r="M38" s="98" t="s">
        <v>92</v>
      </c>
      <c r="N38" s="42"/>
      <c r="O38" s="42"/>
      <c r="P38" s="42"/>
    </row>
    <row r="39" spans="1:16" ht="15.75" x14ac:dyDescent="0.25">
      <c r="A39">
        <v>32</v>
      </c>
      <c r="B39" s="68">
        <v>3</v>
      </c>
      <c r="C39" s="44" t="s">
        <v>96</v>
      </c>
      <c r="D39" s="44" t="s">
        <v>97</v>
      </c>
      <c r="E39" s="45" t="s">
        <v>98</v>
      </c>
      <c r="F39" s="44" t="s">
        <v>88</v>
      </c>
      <c r="G39" s="46">
        <v>1007134587</v>
      </c>
      <c r="H39" s="46"/>
      <c r="I39" s="47">
        <f>'[1]1st term 2025'!J27</f>
        <v>260000</v>
      </c>
      <c r="J39" s="37">
        <f>'term one 2026'!L40</f>
        <v>0</v>
      </c>
      <c r="K39" s="96">
        <f>160000+100000</f>
        <v>260000</v>
      </c>
      <c r="L39" s="39">
        <f t="shared" si="0"/>
        <v>0</v>
      </c>
      <c r="M39" s="43" t="s">
        <v>92</v>
      </c>
      <c r="N39" s="99" t="e">
        <f>L40+L43+#REF!+L44+#REF!+#REF!+#REF!</f>
        <v>#REF!</v>
      </c>
      <c r="O39" s="42"/>
      <c r="P39" s="42"/>
    </row>
    <row r="40" spans="1:16" ht="15.75" x14ac:dyDescent="0.25">
      <c r="A40">
        <v>33</v>
      </c>
      <c r="B40" s="68">
        <v>4</v>
      </c>
      <c r="C40" s="68" t="s">
        <v>99</v>
      </c>
      <c r="D40" s="68" t="s">
        <v>100</v>
      </c>
      <c r="E40" s="79" t="s">
        <v>101</v>
      </c>
      <c r="F40" s="44" t="s">
        <v>88</v>
      </c>
      <c r="G40" s="80">
        <v>1007092280</v>
      </c>
      <c r="H40" s="80"/>
      <c r="I40" s="47">
        <f>'[1]1st term 2025'!J28</f>
        <v>260000</v>
      </c>
      <c r="J40" s="37">
        <f>'term one 2026'!L41</f>
        <v>80000</v>
      </c>
      <c r="K40" s="100">
        <f>100000+80000+90000</f>
        <v>270000</v>
      </c>
      <c r="L40" s="39">
        <f t="shared" si="0"/>
        <v>70000</v>
      </c>
      <c r="M40" s="101" t="s">
        <v>738</v>
      </c>
      <c r="N40" s="102"/>
      <c r="O40" s="42"/>
      <c r="P40" s="42"/>
    </row>
    <row r="41" spans="1:16" ht="15.75" x14ac:dyDescent="0.25">
      <c r="A41">
        <v>34</v>
      </c>
      <c r="B41" s="68">
        <v>5</v>
      </c>
      <c r="C41" s="44" t="s">
        <v>102</v>
      </c>
      <c r="D41" s="44"/>
      <c r="E41" s="45" t="s">
        <v>103</v>
      </c>
      <c r="F41" s="44" t="s">
        <v>88</v>
      </c>
      <c r="G41" s="46">
        <v>1007044996</v>
      </c>
      <c r="H41" s="46"/>
      <c r="I41" s="47">
        <f>'[1]1st term 2025'!J29</f>
        <v>290000</v>
      </c>
      <c r="J41" s="37">
        <f>'term one 2026'!L42</f>
        <v>0</v>
      </c>
      <c r="K41" s="96">
        <f>150000+140000</f>
        <v>290000</v>
      </c>
      <c r="L41" s="39">
        <f t="shared" si="0"/>
        <v>0</v>
      </c>
      <c r="M41" s="43" t="s">
        <v>92</v>
      </c>
      <c r="N41" s="42"/>
      <c r="O41" s="42"/>
      <c r="P41" s="42"/>
    </row>
    <row r="42" spans="1:16" ht="15.75" x14ac:dyDescent="0.25">
      <c r="A42">
        <v>35</v>
      </c>
      <c r="B42" s="68">
        <v>6</v>
      </c>
      <c r="C42" s="60" t="s">
        <v>104</v>
      </c>
      <c r="D42" s="60" t="s">
        <v>105</v>
      </c>
      <c r="E42" s="61" t="s">
        <v>106</v>
      </c>
      <c r="F42" s="60" t="s">
        <v>88</v>
      </c>
      <c r="G42" s="62"/>
      <c r="H42" s="62"/>
      <c r="I42" s="63">
        <v>0</v>
      </c>
      <c r="J42" s="37">
        <v>0</v>
      </c>
      <c r="K42" s="103"/>
      <c r="L42" s="64">
        <f t="shared" si="0"/>
        <v>0</v>
      </c>
      <c r="M42" s="59" t="s">
        <v>92</v>
      </c>
      <c r="N42" s="67" t="s">
        <v>107</v>
      </c>
      <c r="O42" s="67"/>
      <c r="P42" s="67"/>
    </row>
    <row r="43" spans="1:16" ht="15.75" x14ac:dyDescent="0.25">
      <c r="A43">
        <v>36</v>
      </c>
      <c r="B43" s="68">
        <v>7</v>
      </c>
      <c r="C43" s="44" t="s">
        <v>108</v>
      </c>
      <c r="D43" s="44" t="s">
        <v>109</v>
      </c>
      <c r="E43" s="45" t="s">
        <v>110</v>
      </c>
      <c r="F43" s="44" t="s">
        <v>88</v>
      </c>
      <c r="G43" s="46"/>
      <c r="H43" s="46"/>
      <c r="I43" s="47">
        <f>'[1]1st term 2025'!J32</f>
        <v>260000</v>
      </c>
      <c r="J43" s="37">
        <f>'term one 2026'!L44</f>
        <v>0</v>
      </c>
      <c r="K43" s="96">
        <f>100000+100000+20000</f>
        <v>220000</v>
      </c>
      <c r="L43" s="39">
        <f t="shared" si="0"/>
        <v>40000</v>
      </c>
      <c r="M43" s="43" t="s">
        <v>92</v>
      </c>
      <c r="N43" s="42"/>
      <c r="O43" s="42"/>
      <c r="P43" s="42"/>
    </row>
    <row r="44" spans="1:16" ht="15.75" x14ac:dyDescent="0.25">
      <c r="A44">
        <v>37</v>
      </c>
      <c r="B44" s="68">
        <v>8</v>
      </c>
      <c r="C44" s="104" t="s">
        <v>111</v>
      </c>
      <c r="D44" s="104"/>
      <c r="E44" s="105" t="s">
        <v>112</v>
      </c>
      <c r="F44" s="44" t="s">
        <v>88</v>
      </c>
      <c r="G44" s="106">
        <v>1005580041</v>
      </c>
      <c r="H44" s="106"/>
      <c r="I44" s="47">
        <f>'[1]1st term 2025'!J34</f>
        <v>230000</v>
      </c>
      <c r="J44" s="37">
        <f>'term one 2026'!L45</f>
        <v>0</v>
      </c>
      <c r="K44" s="107"/>
      <c r="L44" s="39">
        <f t="shared" si="0"/>
        <v>230000</v>
      </c>
      <c r="M44" s="108" t="s">
        <v>113</v>
      </c>
      <c r="N44" s="109">
        <v>274000</v>
      </c>
      <c r="O44" s="42"/>
      <c r="P44" s="42"/>
    </row>
    <row r="45" spans="1:16" ht="15.75" x14ac:dyDescent="0.25">
      <c r="A45">
        <v>38</v>
      </c>
      <c r="B45" s="68">
        <v>9</v>
      </c>
      <c r="C45" s="60" t="s">
        <v>44</v>
      </c>
      <c r="D45" s="60"/>
      <c r="E45" s="61" t="s">
        <v>114</v>
      </c>
      <c r="F45" s="44" t="s">
        <v>88</v>
      </c>
      <c r="G45" s="62">
        <v>1007986138</v>
      </c>
      <c r="H45" s="62"/>
      <c r="I45" s="47">
        <v>0</v>
      </c>
      <c r="J45" s="37">
        <f>'term one 2026'!L46</f>
        <v>0</v>
      </c>
      <c r="K45" s="103"/>
      <c r="L45" s="39">
        <f t="shared" si="0"/>
        <v>0</v>
      </c>
      <c r="M45" s="59"/>
      <c r="N45" s="42"/>
      <c r="O45" s="42"/>
      <c r="P45" s="42"/>
    </row>
    <row r="46" spans="1:16" ht="15.75" x14ac:dyDescent="0.25">
      <c r="A46">
        <v>39</v>
      </c>
      <c r="B46" s="68">
        <v>10</v>
      </c>
      <c r="C46" s="44" t="s">
        <v>115</v>
      </c>
      <c r="D46" s="44"/>
      <c r="E46" s="45" t="s">
        <v>116</v>
      </c>
      <c r="F46" s="44" t="s">
        <v>88</v>
      </c>
      <c r="G46" s="46">
        <v>1007991074</v>
      </c>
      <c r="H46" s="46"/>
      <c r="I46" s="47">
        <f>'[1]1st term 2025'!J37+30000</f>
        <v>290000</v>
      </c>
      <c r="J46" s="37">
        <f>'term one 2026'!L47</f>
        <v>65000</v>
      </c>
      <c r="K46" s="96">
        <f>40000+10000+70000+30000+70000+75000</f>
        <v>295000</v>
      </c>
      <c r="L46" s="39">
        <f t="shared" si="0"/>
        <v>60000</v>
      </c>
      <c r="M46" s="43" t="s">
        <v>738</v>
      </c>
      <c r="N46" s="42"/>
      <c r="O46" s="42"/>
      <c r="P46" s="42"/>
    </row>
    <row r="47" spans="1:16" ht="15.75" x14ac:dyDescent="0.25">
      <c r="A47">
        <v>40</v>
      </c>
      <c r="B47" s="68">
        <v>11</v>
      </c>
      <c r="C47" s="68" t="s">
        <v>117</v>
      </c>
      <c r="D47" s="68"/>
      <c r="E47" s="79" t="s">
        <v>118</v>
      </c>
      <c r="F47" s="68" t="s">
        <v>88</v>
      </c>
      <c r="G47" s="80">
        <v>1008057858</v>
      </c>
      <c r="H47" s="80"/>
      <c r="I47" s="49">
        <f>'[1]1st term 2025'!J38+30000</f>
        <v>290000</v>
      </c>
      <c r="J47" s="37">
        <f>'term one 2026'!L48</f>
        <v>90000</v>
      </c>
      <c r="K47" s="96">
        <f>200000+100000+80000</f>
        <v>380000</v>
      </c>
      <c r="L47" s="81">
        <f t="shared" si="0"/>
        <v>0</v>
      </c>
      <c r="M47" s="78" t="s">
        <v>738</v>
      </c>
      <c r="N47" s="110" t="e">
        <f>SUM(L37+#REF!+L39+L40+L41+#REF!+#REF!+L43+#REF!+L44+#REF!+L46+L47)</f>
        <v>#REF!</v>
      </c>
      <c r="O47" s="84"/>
      <c r="P47" s="84"/>
    </row>
    <row r="48" spans="1:16" ht="15.75" x14ac:dyDescent="0.25">
      <c r="A48">
        <v>41</v>
      </c>
      <c r="B48" s="68">
        <v>12</v>
      </c>
      <c r="C48" s="44" t="s">
        <v>122</v>
      </c>
      <c r="D48" s="44"/>
      <c r="E48" s="45" t="s">
        <v>123</v>
      </c>
      <c r="F48" s="44" t="s">
        <v>88</v>
      </c>
      <c r="G48" s="46">
        <v>1008799658</v>
      </c>
      <c r="H48" s="46"/>
      <c r="I48" s="47">
        <f>'[1]1st term 2025'!J41</f>
        <v>260000</v>
      </c>
      <c r="J48" s="37">
        <f>'term one 2026'!L50</f>
        <v>0</v>
      </c>
      <c r="K48" s="96">
        <f>115000+50000+50000+30000+15000</f>
        <v>260000</v>
      </c>
      <c r="L48" s="39">
        <f t="shared" si="0"/>
        <v>0</v>
      </c>
      <c r="M48" s="43"/>
      <c r="N48" s="71"/>
      <c r="O48" s="42"/>
      <c r="P48" s="42"/>
    </row>
    <row r="49" spans="1:16" ht="15.75" x14ac:dyDescent="0.25">
      <c r="A49">
        <v>42</v>
      </c>
      <c r="B49" s="68">
        <v>13</v>
      </c>
      <c r="C49" s="44" t="s">
        <v>124</v>
      </c>
      <c r="D49" s="44" t="s">
        <v>125</v>
      </c>
      <c r="E49" s="45" t="s">
        <v>126</v>
      </c>
      <c r="F49" s="44" t="s">
        <v>88</v>
      </c>
      <c r="G49" s="46"/>
      <c r="H49" s="46"/>
      <c r="I49" s="47">
        <f>'[1]1st term 2025'!J43+100000+20000+20000</f>
        <v>400000</v>
      </c>
      <c r="J49" s="37">
        <f>'term one 2026'!L51</f>
        <v>0</v>
      </c>
      <c r="K49" s="96">
        <f>100000+100000+200000</f>
        <v>400000</v>
      </c>
      <c r="L49" s="39">
        <f t="shared" si="0"/>
        <v>0</v>
      </c>
      <c r="M49" s="43" t="s">
        <v>738</v>
      </c>
      <c r="N49" s="71"/>
      <c r="O49" s="42"/>
      <c r="P49" s="42"/>
    </row>
    <row r="50" spans="1:16" ht="15.75" x14ac:dyDescent="0.25">
      <c r="A50">
        <v>43</v>
      </c>
      <c r="B50" s="68">
        <v>14</v>
      </c>
      <c r="C50" s="72" t="s">
        <v>127</v>
      </c>
      <c r="D50" s="72" t="s">
        <v>128</v>
      </c>
      <c r="E50" s="73"/>
      <c r="F50" s="44" t="s">
        <v>88</v>
      </c>
      <c r="G50" s="74"/>
      <c r="H50" s="74"/>
      <c r="I50" s="47">
        <f>'[1]1st term 2025'!J45</f>
        <v>80000</v>
      </c>
      <c r="J50" s="37">
        <f>'term one 2026'!L52</f>
        <v>0</v>
      </c>
      <c r="K50" s="97">
        <f>80000</f>
        <v>80000</v>
      </c>
      <c r="L50" s="39">
        <f>80000</f>
        <v>80000</v>
      </c>
      <c r="M50" s="98"/>
      <c r="N50" s="71"/>
      <c r="O50" s="42"/>
      <c r="P50" s="42"/>
    </row>
    <row r="51" spans="1:16" ht="15.75" x14ac:dyDescent="0.25">
      <c r="A51">
        <v>44</v>
      </c>
      <c r="B51" s="68">
        <v>15</v>
      </c>
      <c r="C51" s="44" t="s">
        <v>129</v>
      </c>
      <c r="D51" s="44" t="s">
        <v>130</v>
      </c>
      <c r="E51" s="45"/>
      <c r="F51" s="44" t="s">
        <v>88</v>
      </c>
      <c r="G51" s="46">
        <v>1009792957</v>
      </c>
      <c r="H51" s="46"/>
      <c r="I51" s="47">
        <f>290000+200000</f>
        <v>490000</v>
      </c>
      <c r="J51" s="37">
        <f>'term one 2026'!L53</f>
        <v>0</v>
      </c>
      <c r="K51" s="96">
        <f>200000+290000</f>
        <v>490000</v>
      </c>
      <c r="L51" s="39">
        <f t="shared" si="0"/>
        <v>0</v>
      </c>
      <c r="M51" s="43" t="s">
        <v>131</v>
      </c>
      <c r="N51" s="71"/>
      <c r="O51" s="42"/>
      <c r="P51" s="42"/>
    </row>
    <row r="52" spans="1:16" ht="15.75" x14ac:dyDescent="0.25">
      <c r="A52">
        <v>45</v>
      </c>
      <c r="B52" s="68">
        <v>16</v>
      </c>
      <c r="C52" s="68" t="s">
        <v>132</v>
      </c>
      <c r="D52" s="68" t="s">
        <v>133</v>
      </c>
      <c r="E52" s="79"/>
      <c r="F52" s="44" t="s">
        <v>88</v>
      </c>
      <c r="G52" s="80"/>
      <c r="H52" s="80"/>
      <c r="I52" s="49">
        <f>260000+30000</f>
        <v>290000</v>
      </c>
      <c r="J52" s="37">
        <v>50000</v>
      </c>
      <c r="K52" s="96">
        <f>150000+100000</f>
        <v>250000</v>
      </c>
      <c r="L52" s="39">
        <f t="shared" si="0"/>
        <v>90000</v>
      </c>
      <c r="M52" s="78" t="s">
        <v>738</v>
      </c>
      <c r="N52" s="119">
        <v>80000</v>
      </c>
      <c r="O52" s="84"/>
      <c r="P52" s="84"/>
    </row>
    <row r="53" spans="1:16" ht="15.75" x14ac:dyDescent="0.25">
      <c r="A53">
        <v>46</v>
      </c>
      <c r="B53" s="68">
        <v>17</v>
      </c>
      <c r="C53" s="44" t="s">
        <v>134</v>
      </c>
      <c r="D53" s="44" t="s">
        <v>135</v>
      </c>
      <c r="E53" s="45"/>
      <c r="F53" s="44" t="s">
        <v>88</v>
      </c>
      <c r="G53" s="46"/>
      <c r="H53" s="46"/>
      <c r="I53" s="47">
        <f>260000+30000</f>
        <v>290000</v>
      </c>
      <c r="J53" s="37">
        <f>90000</f>
        <v>90000</v>
      </c>
      <c r="K53" s="96">
        <f>150000+100000</f>
        <v>250000</v>
      </c>
      <c r="L53" s="39">
        <f t="shared" si="0"/>
        <v>130000</v>
      </c>
      <c r="M53" s="43" t="s">
        <v>738</v>
      </c>
      <c r="N53" s="71"/>
      <c r="O53" s="42"/>
      <c r="P53" s="42"/>
    </row>
    <row r="54" spans="1:16" ht="15.75" x14ac:dyDescent="0.25">
      <c r="A54">
        <v>47</v>
      </c>
      <c r="B54" s="68">
        <v>18</v>
      </c>
      <c r="C54" s="121" t="s">
        <v>136</v>
      </c>
      <c r="D54" s="121" t="s">
        <v>137</v>
      </c>
      <c r="E54" s="122"/>
      <c r="F54" s="121" t="s">
        <v>88</v>
      </c>
      <c r="G54" s="123"/>
      <c r="H54" s="123"/>
      <c r="I54" s="124">
        <v>80000</v>
      </c>
      <c r="J54" s="37">
        <f>'term one 2026'!L56</f>
        <v>0</v>
      </c>
      <c r="K54" s="125"/>
      <c r="L54" s="126">
        <f t="shared" si="0"/>
        <v>80000</v>
      </c>
      <c r="M54" s="120"/>
      <c r="N54" s="127"/>
      <c r="O54" s="128"/>
      <c r="P54" s="128"/>
    </row>
    <row r="55" spans="1:16" ht="15.75" x14ac:dyDescent="0.25">
      <c r="A55">
        <v>48</v>
      </c>
      <c r="B55" s="68">
        <v>19</v>
      </c>
      <c r="C55" s="104" t="s">
        <v>714</v>
      </c>
      <c r="D55" s="50" t="s">
        <v>715</v>
      </c>
      <c r="E55" s="105"/>
      <c r="F55" s="44" t="s">
        <v>220</v>
      </c>
      <c r="G55" s="106"/>
      <c r="H55" s="106"/>
      <c r="I55" s="47">
        <v>310000</v>
      </c>
      <c r="J55" s="37">
        <f>'term one 2026'!L88</f>
        <v>0</v>
      </c>
      <c r="K55" s="107">
        <f>100000+110000+100000</f>
        <v>310000</v>
      </c>
      <c r="L55" s="39">
        <f>I55+J55-K55</f>
        <v>0</v>
      </c>
      <c r="M55" s="108"/>
      <c r="N55" s="154"/>
      <c r="O55" s="42"/>
      <c r="P55" s="42"/>
    </row>
    <row r="56" spans="1:16" s="261" customFormat="1" ht="15.75" x14ac:dyDescent="0.25">
      <c r="A56">
        <v>49</v>
      </c>
      <c r="B56" s="68">
        <v>20</v>
      </c>
      <c r="C56" s="68" t="s">
        <v>735</v>
      </c>
      <c r="D56" s="68" t="s">
        <v>736</v>
      </c>
      <c r="E56" s="79"/>
      <c r="F56" s="68" t="s">
        <v>737</v>
      </c>
      <c r="G56" s="80"/>
      <c r="H56" s="80"/>
      <c r="I56" s="49">
        <v>250000</v>
      </c>
      <c r="J56" s="38"/>
      <c r="K56" s="96">
        <f>150000</f>
        <v>150000</v>
      </c>
      <c r="L56" s="81">
        <f t="shared" si="0"/>
        <v>100000</v>
      </c>
      <c r="M56" s="78"/>
      <c r="N56" s="110"/>
      <c r="O56" s="84"/>
      <c r="P56" s="84"/>
    </row>
    <row r="57" spans="1:16" s="261" customFormat="1" ht="15.75" x14ac:dyDescent="0.25">
      <c r="A57">
        <v>50</v>
      </c>
      <c r="B57" s="68">
        <v>21</v>
      </c>
      <c r="C57" s="68" t="s">
        <v>166</v>
      </c>
      <c r="D57" s="68" t="s">
        <v>734</v>
      </c>
      <c r="E57" s="79" t="s">
        <v>44</v>
      </c>
      <c r="F57" s="68"/>
      <c r="G57" s="80"/>
      <c r="H57" s="80"/>
      <c r="I57" s="49">
        <f>290000</f>
        <v>290000</v>
      </c>
      <c r="J57" s="38"/>
      <c r="K57" s="96">
        <f>100000+30000+20000+10000+20000</f>
        <v>180000</v>
      </c>
      <c r="L57" s="126">
        <f t="shared" si="0"/>
        <v>110000</v>
      </c>
      <c r="M57" s="78"/>
      <c r="N57" s="110"/>
      <c r="O57" s="84"/>
      <c r="P57" s="84"/>
    </row>
    <row r="58" spans="1:16" ht="31.5" x14ac:dyDescent="0.25">
      <c r="B58" s="68"/>
      <c r="C58" s="44"/>
      <c r="D58" s="44"/>
      <c r="E58" s="45"/>
      <c r="F58" s="44" t="s">
        <v>138</v>
      </c>
      <c r="G58" s="46"/>
      <c r="H58" s="46"/>
      <c r="I58" s="47"/>
      <c r="J58" s="37"/>
      <c r="K58" s="96"/>
      <c r="L58" s="39"/>
      <c r="M58" s="43"/>
      <c r="N58" s="71"/>
      <c r="O58" s="42"/>
      <c r="P58" s="42"/>
    </row>
    <row r="59" spans="1:16" ht="15.75" x14ac:dyDescent="0.25">
      <c r="A59">
        <v>51</v>
      </c>
      <c r="B59" s="129">
        <v>1</v>
      </c>
      <c r="C59" s="129" t="s">
        <v>139</v>
      </c>
      <c r="D59" s="129"/>
      <c r="E59" s="130" t="s">
        <v>140</v>
      </c>
      <c r="F59" s="44" t="s">
        <v>141</v>
      </c>
      <c r="G59" s="131">
        <v>1004598780</v>
      </c>
      <c r="H59" s="131">
        <v>705362439</v>
      </c>
      <c r="I59" s="47">
        <f>310000</f>
        <v>310000</v>
      </c>
      <c r="J59" s="37">
        <f>'term one 2026'!L58</f>
        <v>195000</v>
      </c>
      <c r="K59" s="107">
        <f>195000+100000</f>
        <v>295000</v>
      </c>
      <c r="L59" s="39">
        <f t="shared" si="0"/>
        <v>210000</v>
      </c>
      <c r="M59" s="78" t="s">
        <v>142</v>
      </c>
      <c r="N59" s="109"/>
      <c r="O59" s="42"/>
      <c r="P59" s="42"/>
    </row>
    <row r="60" spans="1:16" ht="15.75" x14ac:dyDescent="0.25">
      <c r="A60">
        <v>52</v>
      </c>
      <c r="B60" s="129">
        <v>2</v>
      </c>
      <c r="C60" s="132" t="s">
        <v>143</v>
      </c>
      <c r="D60" s="132" t="s">
        <v>144</v>
      </c>
      <c r="E60" s="133" t="s">
        <v>145</v>
      </c>
      <c r="F60" s="44" t="s">
        <v>141</v>
      </c>
      <c r="G60" s="134">
        <v>1004970591</v>
      </c>
      <c r="H60" s="134">
        <v>706082006</v>
      </c>
      <c r="I60" s="47">
        <v>100000</v>
      </c>
      <c r="J60" s="37">
        <f>'term one 2026'!L59</f>
        <v>0</v>
      </c>
      <c r="K60" s="135">
        <f>100000</f>
        <v>100000</v>
      </c>
      <c r="L60" s="39">
        <f t="shared" si="0"/>
        <v>0</v>
      </c>
      <c r="M60" s="59" t="s">
        <v>757</v>
      </c>
      <c r="N60" s="42"/>
      <c r="O60" s="42"/>
      <c r="P60" s="42"/>
    </row>
    <row r="61" spans="1:16" ht="15.75" x14ac:dyDescent="0.25">
      <c r="A61">
        <v>53</v>
      </c>
      <c r="B61" s="129">
        <v>3</v>
      </c>
      <c r="C61" s="132" t="s">
        <v>147</v>
      </c>
      <c r="D61" s="132"/>
      <c r="E61" s="133" t="s">
        <v>148</v>
      </c>
      <c r="F61" s="44" t="s">
        <v>141</v>
      </c>
      <c r="G61" s="134">
        <v>1004702849</v>
      </c>
      <c r="H61" s="134">
        <v>789426721</v>
      </c>
      <c r="I61" s="47">
        <v>0</v>
      </c>
      <c r="J61" s="37">
        <f>'term one 2026'!L60</f>
        <v>0</v>
      </c>
      <c r="K61" s="135"/>
      <c r="L61" s="39">
        <f t="shared" si="0"/>
        <v>0</v>
      </c>
      <c r="M61" s="59" t="s">
        <v>146</v>
      </c>
      <c r="N61" s="42"/>
      <c r="O61" s="42"/>
      <c r="P61" s="42"/>
    </row>
    <row r="62" spans="1:16" ht="15.75" x14ac:dyDescent="0.25">
      <c r="A62">
        <v>54</v>
      </c>
      <c r="B62" s="129">
        <v>4</v>
      </c>
      <c r="C62" s="129" t="s">
        <v>149</v>
      </c>
      <c r="D62" s="129" t="s">
        <v>150</v>
      </c>
      <c r="E62" s="130" t="s">
        <v>151</v>
      </c>
      <c r="F62" s="44" t="s">
        <v>141</v>
      </c>
      <c r="G62" s="131">
        <v>1005019546</v>
      </c>
      <c r="H62" s="131">
        <v>759659001</v>
      </c>
      <c r="I62" s="47">
        <f>310000</f>
        <v>310000</v>
      </c>
      <c r="J62" s="37">
        <f>'term one 2026'!L61</f>
        <v>60000</v>
      </c>
      <c r="K62" s="107">
        <f>100000+100000+90000</f>
        <v>290000</v>
      </c>
      <c r="L62" s="39">
        <f t="shared" si="0"/>
        <v>80000</v>
      </c>
      <c r="M62" s="78" t="s">
        <v>92</v>
      </c>
      <c r="N62" s="42"/>
      <c r="O62" s="42"/>
      <c r="P62" s="42"/>
    </row>
    <row r="63" spans="1:16" ht="15.75" x14ac:dyDescent="0.25">
      <c r="A63">
        <v>55</v>
      </c>
      <c r="B63" s="129">
        <v>5</v>
      </c>
      <c r="C63" s="104" t="s">
        <v>152</v>
      </c>
      <c r="D63" s="104"/>
      <c r="E63" s="105" t="s">
        <v>153</v>
      </c>
      <c r="F63" s="44" t="s">
        <v>141</v>
      </c>
      <c r="G63" s="106">
        <v>1006568232</v>
      </c>
      <c r="H63" s="106"/>
      <c r="I63" s="47">
        <f>310000</f>
        <v>310000</v>
      </c>
      <c r="J63" s="37">
        <f>80000</f>
        <v>80000</v>
      </c>
      <c r="K63" s="107">
        <f>100000+100000+100000</f>
        <v>300000</v>
      </c>
      <c r="L63" s="39">
        <f t="shared" si="0"/>
        <v>90000</v>
      </c>
      <c r="M63" s="136" t="s">
        <v>154</v>
      </c>
      <c r="N63" s="42"/>
      <c r="O63" s="42"/>
      <c r="P63" s="42"/>
    </row>
    <row r="64" spans="1:16" ht="15.75" x14ac:dyDescent="0.25">
      <c r="A64">
        <v>56</v>
      </c>
      <c r="B64" s="129">
        <v>6</v>
      </c>
      <c r="C64" s="104" t="s">
        <v>155</v>
      </c>
      <c r="D64" s="104"/>
      <c r="E64" s="105" t="s">
        <v>156</v>
      </c>
      <c r="F64" s="44" t="s">
        <v>141</v>
      </c>
      <c r="G64" s="106">
        <v>1006597691</v>
      </c>
      <c r="H64" s="106"/>
      <c r="I64" s="47">
        <f>300000</f>
        <v>300000</v>
      </c>
      <c r="J64" s="37">
        <f>'term one 2026'!L63</f>
        <v>0</v>
      </c>
      <c r="K64" s="107">
        <f>100000+100000+100000</f>
        <v>300000</v>
      </c>
      <c r="L64" s="39">
        <f t="shared" si="0"/>
        <v>0</v>
      </c>
      <c r="M64" s="136" t="s">
        <v>146</v>
      </c>
      <c r="N64" s="99" t="e">
        <f>L59+#REF!</f>
        <v>#REF!</v>
      </c>
      <c r="O64" s="42"/>
      <c r="P64" s="42"/>
    </row>
    <row r="65" spans="1:16" ht="15.75" x14ac:dyDescent="0.25">
      <c r="A65">
        <v>57</v>
      </c>
      <c r="B65" s="129">
        <v>7</v>
      </c>
      <c r="C65" s="137" t="s">
        <v>157</v>
      </c>
      <c r="D65" s="137" t="s">
        <v>158</v>
      </c>
      <c r="E65" s="138" t="s">
        <v>159</v>
      </c>
      <c r="F65" s="44" t="s">
        <v>141</v>
      </c>
      <c r="G65" s="139">
        <v>1006613640</v>
      </c>
      <c r="H65" s="139"/>
      <c r="I65" s="47">
        <v>0</v>
      </c>
      <c r="J65" s="37">
        <f>'term one 2026'!L64</f>
        <v>0</v>
      </c>
      <c r="K65" s="140"/>
      <c r="L65" s="39">
        <f t="shared" si="0"/>
        <v>0</v>
      </c>
      <c r="M65" s="141" t="s">
        <v>92</v>
      </c>
      <c r="N65" s="99" t="s">
        <v>160</v>
      </c>
      <c r="O65" s="42"/>
      <c r="P65" s="42"/>
    </row>
    <row r="66" spans="1:16" ht="15.75" x14ac:dyDescent="0.25">
      <c r="A66">
        <v>58</v>
      </c>
      <c r="B66" s="129">
        <v>8</v>
      </c>
      <c r="C66" s="137" t="s">
        <v>161</v>
      </c>
      <c r="D66" s="137"/>
      <c r="E66" s="138" t="s">
        <v>44</v>
      </c>
      <c r="F66" s="44" t="s">
        <v>141</v>
      </c>
      <c r="G66" s="139"/>
      <c r="H66" s="139"/>
      <c r="I66" s="47">
        <v>0</v>
      </c>
      <c r="J66" s="37">
        <f>'term one 2026'!L65</f>
        <v>0</v>
      </c>
      <c r="K66" s="140"/>
      <c r="L66" s="39">
        <f t="shared" si="0"/>
        <v>0</v>
      </c>
      <c r="M66" s="141" t="s">
        <v>92</v>
      </c>
      <c r="N66" s="42"/>
      <c r="O66" s="42"/>
      <c r="P66" s="42"/>
    </row>
    <row r="67" spans="1:16" ht="15.75" x14ac:dyDescent="0.25">
      <c r="A67">
        <v>59</v>
      </c>
      <c r="B67" s="129">
        <v>9</v>
      </c>
      <c r="C67" s="137" t="s">
        <v>162</v>
      </c>
      <c r="D67" s="137"/>
      <c r="E67" s="138" t="s">
        <v>163</v>
      </c>
      <c r="F67" s="44" t="s">
        <v>141</v>
      </c>
      <c r="G67" s="139"/>
      <c r="H67" s="139"/>
      <c r="I67" s="47">
        <v>0</v>
      </c>
      <c r="J67" s="37">
        <f>'term one 2026'!L66</f>
        <v>0</v>
      </c>
      <c r="K67" s="140"/>
      <c r="L67" s="39">
        <f t="shared" ref="L67:L131" si="1">I67+J67-K67</f>
        <v>0</v>
      </c>
      <c r="M67" s="141" t="s">
        <v>92</v>
      </c>
      <c r="N67" s="42"/>
      <c r="O67" s="42"/>
      <c r="P67" s="42"/>
    </row>
    <row r="68" spans="1:16" ht="23.25" customHeight="1" x14ac:dyDescent="0.25">
      <c r="A68">
        <v>60</v>
      </c>
      <c r="B68" s="129">
        <v>10</v>
      </c>
      <c r="C68" s="144" t="s">
        <v>167</v>
      </c>
      <c r="D68" s="144" t="s">
        <v>168</v>
      </c>
      <c r="E68" s="145" t="s">
        <v>169</v>
      </c>
      <c r="F68" s="44" t="s">
        <v>141</v>
      </c>
      <c r="G68" s="146">
        <v>1006973917</v>
      </c>
      <c r="H68" s="146"/>
      <c r="I68" s="47">
        <v>0</v>
      </c>
      <c r="J68" s="37">
        <f>'term one 2026'!L68</f>
        <v>0</v>
      </c>
      <c r="K68" s="147"/>
      <c r="L68" s="39">
        <f t="shared" si="1"/>
        <v>0</v>
      </c>
      <c r="M68" s="148" t="s">
        <v>92</v>
      </c>
      <c r="N68" s="42" t="s">
        <v>170</v>
      </c>
      <c r="O68" s="42"/>
      <c r="P68" s="42"/>
    </row>
    <row r="69" spans="1:16" ht="15.75" x14ac:dyDescent="0.25">
      <c r="A69">
        <v>61</v>
      </c>
      <c r="B69" s="129">
        <v>11</v>
      </c>
      <c r="C69" s="68" t="s">
        <v>171</v>
      </c>
      <c r="D69" s="68" t="s">
        <v>172</v>
      </c>
      <c r="E69" s="79" t="s">
        <v>173</v>
      </c>
      <c r="F69" s="44" t="s">
        <v>141</v>
      </c>
      <c r="G69" s="80">
        <v>1007985992</v>
      </c>
      <c r="H69" s="80"/>
      <c r="I69" s="49">
        <f>310000</f>
        <v>310000</v>
      </c>
      <c r="J69" s="37">
        <f>'term one 2026'!L69</f>
        <v>0</v>
      </c>
      <c r="K69" s="96">
        <f>200000+110000</f>
        <v>310000</v>
      </c>
      <c r="L69" s="39">
        <f t="shared" si="1"/>
        <v>0</v>
      </c>
      <c r="M69" s="84"/>
      <c r="N69" s="42"/>
      <c r="O69" s="42"/>
      <c r="P69" s="42"/>
    </row>
    <row r="70" spans="1:16" ht="15.75" x14ac:dyDescent="0.25">
      <c r="A70">
        <v>62</v>
      </c>
      <c r="B70" s="129">
        <v>12</v>
      </c>
      <c r="C70" s="60" t="s">
        <v>44</v>
      </c>
      <c r="D70" s="60"/>
      <c r="E70" s="61" t="s">
        <v>174</v>
      </c>
      <c r="F70" s="44" t="s">
        <v>141</v>
      </c>
      <c r="G70" s="62">
        <v>1007986167</v>
      </c>
      <c r="H70" s="62"/>
      <c r="I70" s="47">
        <v>0</v>
      </c>
      <c r="J70" s="37">
        <f>'term one 2026'!L70</f>
        <v>0</v>
      </c>
      <c r="K70" s="103"/>
      <c r="L70" s="39">
        <f t="shared" si="1"/>
        <v>0</v>
      </c>
      <c r="M70" s="67"/>
      <c r="N70" s="42"/>
      <c r="O70" s="42"/>
      <c r="P70" s="42"/>
    </row>
    <row r="71" spans="1:16" ht="15.75" x14ac:dyDescent="0.25">
      <c r="A71">
        <v>63</v>
      </c>
      <c r="B71" s="129">
        <v>13</v>
      </c>
      <c r="C71" s="68" t="s">
        <v>175</v>
      </c>
      <c r="D71" s="68" t="s">
        <v>176</v>
      </c>
      <c r="E71" s="79" t="s">
        <v>177</v>
      </c>
      <c r="F71" s="44" t="s">
        <v>141</v>
      </c>
      <c r="G71" s="80">
        <v>1008016084</v>
      </c>
      <c r="H71" s="80"/>
      <c r="I71" s="47">
        <f>310000+150000</f>
        <v>460000</v>
      </c>
      <c r="J71" s="37">
        <f>'term one 2026'!L71</f>
        <v>0</v>
      </c>
      <c r="K71" s="96">
        <f>300000+160000</f>
        <v>460000</v>
      </c>
      <c r="L71" s="39">
        <f t="shared" si="1"/>
        <v>0</v>
      </c>
      <c r="M71" s="84"/>
      <c r="N71" s="71" t="e">
        <f>SUM(L59+L62+#REF!+L63+L64+#REF!+#REF!+#REF!+#REF!+L69+#REF!+L71+L72)</f>
        <v>#REF!</v>
      </c>
      <c r="O71" s="42"/>
      <c r="P71" s="42"/>
    </row>
    <row r="72" spans="1:16" ht="15.75" x14ac:dyDescent="0.25">
      <c r="A72">
        <v>64</v>
      </c>
      <c r="B72" s="129">
        <v>14</v>
      </c>
      <c r="C72" s="68" t="s">
        <v>178</v>
      </c>
      <c r="D72" s="68" t="s">
        <v>179</v>
      </c>
      <c r="E72" s="79"/>
      <c r="F72" s="44" t="s">
        <v>141</v>
      </c>
      <c r="G72" s="80">
        <v>1008448676</v>
      </c>
      <c r="H72" s="80"/>
      <c r="I72" s="47">
        <f>310000</f>
        <v>310000</v>
      </c>
      <c r="J72" s="37">
        <f>'term one 2026'!L72</f>
        <v>70000</v>
      </c>
      <c r="K72" s="96">
        <f>50000+150000+80000</f>
        <v>280000</v>
      </c>
      <c r="L72" s="39">
        <f t="shared" si="1"/>
        <v>100000</v>
      </c>
      <c r="M72" s="84"/>
      <c r="N72" s="42"/>
      <c r="O72" s="42"/>
      <c r="P72" s="42"/>
    </row>
    <row r="73" spans="1:16" ht="15.75" x14ac:dyDescent="0.25">
      <c r="A73">
        <v>65</v>
      </c>
      <c r="B73" s="129">
        <v>15</v>
      </c>
      <c r="C73" s="149" t="s">
        <v>180</v>
      </c>
      <c r="D73" s="149" t="s">
        <v>181</v>
      </c>
      <c r="E73" s="150" t="s">
        <v>182</v>
      </c>
      <c r="F73" s="44" t="s">
        <v>141</v>
      </c>
      <c r="G73" s="151"/>
      <c r="H73" s="151"/>
      <c r="I73" s="47">
        <f>'[1]1st term 2025'!J67</f>
        <v>80000</v>
      </c>
      <c r="J73" s="37">
        <f>'term one 2026'!L73</f>
        <v>0</v>
      </c>
      <c r="K73" s="152">
        <f>80000</f>
        <v>80000</v>
      </c>
      <c r="L73" s="39">
        <f t="shared" si="1"/>
        <v>0</v>
      </c>
      <c r="M73" s="153"/>
      <c r="N73" s="154"/>
      <c r="O73" s="42"/>
      <c r="P73" s="42"/>
    </row>
    <row r="74" spans="1:16" ht="15.75" x14ac:dyDescent="0.25">
      <c r="A74">
        <v>66</v>
      </c>
      <c r="B74" s="129">
        <v>16</v>
      </c>
      <c r="C74" s="155" t="s">
        <v>183</v>
      </c>
      <c r="D74" s="155" t="s">
        <v>184</v>
      </c>
      <c r="E74" s="156" t="s">
        <v>185</v>
      </c>
      <c r="F74" s="44" t="s">
        <v>141</v>
      </c>
      <c r="G74" s="157">
        <v>1008697299</v>
      </c>
      <c r="H74" s="157"/>
      <c r="I74" s="47">
        <f>310000+100000</f>
        <v>410000</v>
      </c>
      <c r="J74" s="37">
        <f>'term one 2026'!L74</f>
        <v>0</v>
      </c>
      <c r="K74" s="158">
        <f>100000+150000+160000</f>
        <v>410000</v>
      </c>
      <c r="L74" s="39">
        <f t="shared" si="1"/>
        <v>0</v>
      </c>
      <c r="M74" s="159" t="s">
        <v>186</v>
      </c>
      <c r="N74" s="154"/>
      <c r="O74" s="42"/>
      <c r="P74" s="42"/>
    </row>
    <row r="75" spans="1:16" ht="15.75" x14ac:dyDescent="0.25">
      <c r="A75">
        <v>67</v>
      </c>
      <c r="B75" s="129">
        <v>17</v>
      </c>
      <c r="C75" s="155" t="s">
        <v>187</v>
      </c>
      <c r="D75" s="155" t="s">
        <v>188</v>
      </c>
      <c r="E75" s="156" t="s">
        <v>189</v>
      </c>
      <c r="F75" s="44" t="s">
        <v>141</v>
      </c>
      <c r="G75" s="157"/>
      <c r="H75" s="157"/>
      <c r="I75" s="47">
        <f>'[1]1st term 2025'!J69</f>
        <v>500000</v>
      </c>
      <c r="J75" s="37">
        <f>'term one 2026'!L75</f>
        <v>0</v>
      </c>
      <c r="K75" s="158">
        <f>400000+100000</f>
        <v>500000</v>
      </c>
      <c r="L75" s="39">
        <f t="shared" si="1"/>
        <v>0</v>
      </c>
      <c r="M75" s="160" t="s">
        <v>190</v>
      </c>
      <c r="N75" s="154"/>
      <c r="O75" s="42"/>
      <c r="P75" s="42"/>
    </row>
    <row r="76" spans="1:16" ht="15.75" x14ac:dyDescent="0.25">
      <c r="A76">
        <v>68</v>
      </c>
      <c r="B76" s="129">
        <v>18</v>
      </c>
      <c r="C76" s="155" t="s">
        <v>191</v>
      </c>
      <c r="D76" s="155" t="s">
        <v>192</v>
      </c>
      <c r="E76" s="156"/>
      <c r="F76" s="44" t="s">
        <v>141</v>
      </c>
      <c r="G76" s="157">
        <v>1008817815</v>
      </c>
      <c r="H76" s="157"/>
      <c r="I76" s="47">
        <f>310000</f>
        <v>310000</v>
      </c>
      <c r="J76" s="37">
        <f>'term one 2026'!L76</f>
        <v>0</v>
      </c>
      <c r="K76" s="158">
        <f>310000</f>
        <v>310000</v>
      </c>
      <c r="L76" s="39">
        <f t="shared" si="1"/>
        <v>0</v>
      </c>
      <c r="M76" s="160"/>
      <c r="N76" s="154"/>
      <c r="O76" s="42"/>
      <c r="P76" s="42"/>
    </row>
    <row r="77" spans="1:16" ht="15.75" x14ac:dyDescent="0.25">
      <c r="A77">
        <v>69</v>
      </c>
      <c r="B77" s="129">
        <v>19</v>
      </c>
      <c r="C77" s="44" t="s">
        <v>202</v>
      </c>
      <c r="D77" s="44" t="s">
        <v>203</v>
      </c>
      <c r="E77" s="45" t="s">
        <v>38</v>
      </c>
      <c r="F77" s="44" t="s">
        <v>141</v>
      </c>
      <c r="G77" s="46">
        <v>1008730703</v>
      </c>
      <c r="H77" s="46"/>
      <c r="I77" s="47">
        <f>200000</f>
        <v>200000</v>
      </c>
      <c r="J77" s="37">
        <f>'term one 2026'!L80</f>
        <v>0</v>
      </c>
      <c r="K77" s="161">
        <f>200000</f>
        <v>200000</v>
      </c>
      <c r="L77" s="39">
        <f t="shared" si="1"/>
        <v>0</v>
      </c>
      <c r="M77" s="43" t="s">
        <v>43</v>
      </c>
      <c r="N77" s="71"/>
      <c r="O77" s="42"/>
      <c r="P77" s="42"/>
    </row>
    <row r="78" spans="1:16" ht="15.75" x14ac:dyDescent="0.25">
      <c r="A78">
        <v>70</v>
      </c>
      <c r="B78" s="129">
        <v>20</v>
      </c>
      <c r="C78" s="104" t="s">
        <v>204</v>
      </c>
      <c r="D78" s="41" t="s">
        <v>203</v>
      </c>
      <c r="E78" s="105" t="s">
        <v>205</v>
      </c>
      <c r="F78" s="44" t="s">
        <v>141</v>
      </c>
      <c r="G78" s="106"/>
      <c r="H78" s="106"/>
      <c r="I78" s="47">
        <f>310000+50000</f>
        <v>360000</v>
      </c>
      <c r="J78" s="37">
        <f>'term one 2026'!L81</f>
        <v>0</v>
      </c>
      <c r="K78" s="107">
        <f>160000+200000</f>
        <v>360000</v>
      </c>
      <c r="L78" s="39">
        <f t="shared" si="1"/>
        <v>0</v>
      </c>
      <c r="M78" s="108"/>
      <c r="N78" s="154"/>
      <c r="O78" s="42"/>
      <c r="P78" s="42"/>
    </row>
    <row r="79" spans="1:16" ht="15.75" x14ac:dyDescent="0.25">
      <c r="A79">
        <v>71</v>
      </c>
      <c r="B79" s="129">
        <v>21</v>
      </c>
      <c r="C79" s="104" t="s">
        <v>207</v>
      </c>
      <c r="D79" s="50" t="s">
        <v>208</v>
      </c>
      <c r="E79" s="105"/>
      <c r="F79" s="44" t="s">
        <v>141</v>
      </c>
      <c r="G79" s="106"/>
      <c r="H79" s="106"/>
      <c r="I79" s="47">
        <v>310000</v>
      </c>
      <c r="J79" s="37">
        <f>'term one 2026'!L83</f>
        <v>0</v>
      </c>
      <c r="K79" s="107">
        <f>200000+50000+30000</f>
        <v>280000</v>
      </c>
      <c r="L79" s="39">
        <f t="shared" si="1"/>
        <v>30000</v>
      </c>
      <c r="M79" s="108"/>
      <c r="N79" s="154"/>
      <c r="O79" s="42"/>
      <c r="P79" s="42"/>
    </row>
    <row r="80" spans="1:16" ht="15.75" x14ac:dyDescent="0.25">
      <c r="A80">
        <v>72</v>
      </c>
      <c r="B80" s="129">
        <v>22</v>
      </c>
      <c r="C80" s="104" t="s">
        <v>209</v>
      </c>
      <c r="D80" s="50" t="s">
        <v>210</v>
      </c>
      <c r="E80" s="105"/>
      <c r="F80" s="44" t="s">
        <v>141</v>
      </c>
      <c r="G80" s="106"/>
      <c r="H80" s="106"/>
      <c r="I80" s="47">
        <f>270000</f>
        <v>270000</v>
      </c>
      <c r="J80" s="37">
        <f>'term one 2026'!L84</f>
        <v>0</v>
      </c>
      <c r="K80" s="107">
        <f>70000+100000</f>
        <v>170000</v>
      </c>
      <c r="L80" s="39">
        <f>I80+J80-K80</f>
        <v>100000</v>
      </c>
      <c r="M80" s="108"/>
      <c r="N80" s="154"/>
      <c r="O80" s="42"/>
      <c r="P80" s="42"/>
    </row>
    <row r="81" spans="1:16" ht="15.75" x14ac:dyDescent="0.25">
      <c r="A81">
        <v>73</v>
      </c>
      <c r="B81" s="129">
        <v>23</v>
      </c>
      <c r="C81" s="129" t="s">
        <v>211</v>
      </c>
      <c r="D81" s="129" t="s">
        <v>212</v>
      </c>
      <c r="E81" s="130" t="s">
        <v>213</v>
      </c>
      <c r="F81" s="44" t="s">
        <v>141</v>
      </c>
      <c r="G81" s="131"/>
      <c r="H81" s="131"/>
      <c r="I81" s="47">
        <v>530000</v>
      </c>
      <c r="J81" s="37">
        <f>'term one 2026'!L85</f>
        <v>0</v>
      </c>
      <c r="K81" s="142">
        <f>500000+30000</f>
        <v>530000</v>
      </c>
      <c r="L81" s="39">
        <f t="shared" si="1"/>
        <v>0</v>
      </c>
      <c r="M81" s="143" t="s">
        <v>214</v>
      </c>
      <c r="N81" s="154"/>
      <c r="O81" s="42"/>
      <c r="P81" s="42"/>
    </row>
    <row r="82" spans="1:16" ht="15.75" x14ac:dyDescent="0.25">
      <c r="A82">
        <v>74</v>
      </c>
      <c r="B82" s="129">
        <v>24</v>
      </c>
      <c r="C82" s="104" t="s">
        <v>215</v>
      </c>
      <c r="D82" s="50" t="s">
        <v>216</v>
      </c>
      <c r="E82" s="105" t="s">
        <v>217</v>
      </c>
      <c r="F82" s="44" t="s">
        <v>141</v>
      </c>
      <c r="G82" s="106"/>
      <c r="H82" s="106"/>
      <c r="I82" s="47">
        <f>280000+20000</f>
        <v>300000</v>
      </c>
      <c r="J82" s="37">
        <f>'term one 2026'!L86</f>
        <v>0</v>
      </c>
      <c r="K82" s="107">
        <f>100000+50000+50000</f>
        <v>200000</v>
      </c>
      <c r="L82" s="39">
        <f t="shared" si="1"/>
        <v>100000</v>
      </c>
      <c r="M82" s="108"/>
      <c r="N82" s="154"/>
      <c r="O82" s="42"/>
      <c r="P82" s="42"/>
    </row>
    <row r="83" spans="1:16" ht="15.75" x14ac:dyDescent="0.25">
      <c r="A83">
        <v>75</v>
      </c>
      <c r="B83" s="227">
        <v>25</v>
      </c>
      <c r="C83" s="314" t="s">
        <v>218</v>
      </c>
      <c r="D83" s="315" t="s">
        <v>219</v>
      </c>
      <c r="E83" s="316" t="s">
        <v>217</v>
      </c>
      <c r="F83" s="317" t="s">
        <v>220</v>
      </c>
      <c r="G83" s="318"/>
      <c r="H83" s="318"/>
      <c r="I83" s="232">
        <f>280000+20000</f>
        <v>300000</v>
      </c>
      <c r="J83" s="294">
        <f>'term one 2026'!L87</f>
        <v>0</v>
      </c>
      <c r="K83" s="142">
        <f>100000+50000+50000</f>
        <v>200000</v>
      </c>
      <c r="L83" s="178">
        <f t="shared" si="1"/>
        <v>100000</v>
      </c>
      <c r="M83" s="319"/>
      <c r="N83" s="154"/>
      <c r="O83" s="42"/>
      <c r="P83" s="42"/>
    </row>
    <row r="84" spans="1:16" s="236" customFormat="1" ht="15.75" x14ac:dyDescent="0.25">
      <c r="A84">
        <v>76</v>
      </c>
      <c r="B84" s="285">
        <v>26</v>
      </c>
      <c r="C84" s="104" t="s">
        <v>41</v>
      </c>
      <c r="D84" s="50" t="s">
        <v>101</v>
      </c>
      <c r="E84" s="326"/>
      <c r="F84" s="44" t="s">
        <v>220</v>
      </c>
      <c r="G84" s="326"/>
      <c r="H84" s="326"/>
      <c r="I84" s="326">
        <f>250000</f>
        <v>250000</v>
      </c>
      <c r="J84" s="326"/>
      <c r="K84" s="326">
        <f>100000+100000</f>
        <v>200000</v>
      </c>
      <c r="L84" s="39">
        <f t="shared" si="1"/>
        <v>50000</v>
      </c>
      <c r="M84" s="326"/>
    </row>
    <row r="85" spans="1:16" ht="15.75" x14ac:dyDescent="0.25">
      <c r="B85" s="320"/>
      <c r="C85" s="321"/>
      <c r="D85" s="40"/>
      <c r="E85" s="322"/>
      <c r="F85" s="33"/>
      <c r="G85" s="323"/>
      <c r="H85" s="323"/>
      <c r="I85" s="36"/>
      <c r="J85" s="37">
        <f>'term one 2026'!L89</f>
        <v>0</v>
      </c>
      <c r="K85" s="324"/>
      <c r="L85" s="180">
        <f t="shared" si="1"/>
        <v>0</v>
      </c>
      <c r="M85" s="325"/>
      <c r="N85" s="154"/>
      <c r="O85" s="42"/>
      <c r="P85" s="42"/>
    </row>
    <row r="86" spans="1:16" ht="15.75" x14ac:dyDescent="0.25">
      <c r="B86" s="129"/>
      <c r="C86" s="104"/>
      <c r="D86" s="50"/>
      <c r="E86" s="105"/>
      <c r="F86" s="44"/>
      <c r="G86" s="106"/>
      <c r="H86" s="106"/>
      <c r="I86" s="47"/>
      <c r="J86" s="37">
        <f>'term one 2026'!L90</f>
        <v>0</v>
      </c>
      <c r="K86" s="107"/>
      <c r="L86" s="39"/>
      <c r="M86" s="108"/>
      <c r="N86" s="154"/>
      <c r="O86" s="42"/>
      <c r="P86" s="42"/>
    </row>
    <row r="87" spans="1:16" ht="37.5" x14ac:dyDescent="0.3">
      <c r="B87" s="129"/>
      <c r="C87" s="104" t="s">
        <v>221</v>
      </c>
      <c r="D87" s="162" t="s">
        <v>222</v>
      </c>
      <c r="E87" s="105"/>
      <c r="F87" s="106"/>
      <c r="G87" s="106"/>
      <c r="H87" s="106"/>
      <c r="I87" s="47">
        <f>'[1]1st term 2025'!J78</f>
        <v>0</v>
      </c>
      <c r="J87" s="37">
        <f>'term one 2026'!L91</f>
        <v>0</v>
      </c>
      <c r="K87" s="107"/>
      <c r="L87" s="39">
        <f t="shared" si="1"/>
        <v>0</v>
      </c>
      <c r="M87" s="108"/>
      <c r="N87" s="154"/>
      <c r="O87" s="42"/>
      <c r="P87" s="42"/>
    </row>
    <row r="88" spans="1:16" ht="15.75" x14ac:dyDescent="0.25">
      <c r="A88">
        <v>77</v>
      </c>
      <c r="B88" s="129">
        <v>1</v>
      </c>
      <c r="C88" s="163" t="s">
        <v>223</v>
      </c>
      <c r="D88" s="163"/>
      <c r="E88" s="164" t="s">
        <v>224</v>
      </c>
      <c r="F88" s="163" t="s">
        <v>225</v>
      </c>
      <c r="G88" s="165">
        <v>1003372958</v>
      </c>
      <c r="H88" s="165">
        <v>705716541</v>
      </c>
      <c r="I88" s="47">
        <f>'[1]1st term 2025'!J82</f>
        <v>310000</v>
      </c>
      <c r="J88" s="37">
        <f>'term one 2026'!L92</f>
        <v>60000</v>
      </c>
      <c r="K88" s="166">
        <f>60000</f>
        <v>60000</v>
      </c>
      <c r="L88" s="39">
        <f t="shared" si="1"/>
        <v>310000</v>
      </c>
      <c r="M88" s="167"/>
      <c r="N88" s="168" t="e">
        <f>L97+#REF!</f>
        <v>#REF!</v>
      </c>
      <c r="O88" s="42"/>
      <c r="P88" s="42"/>
    </row>
    <row r="89" spans="1:16" ht="15.75" x14ac:dyDescent="0.25">
      <c r="A89">
        <v>78</v>
      </c>
      <c r="B89" s="129">
        <v>2</v>
      </c>
      <c r="C89" s="163" t="s">
        <v>111</v>
      </c>
      <c r="D89" s="163"/>
      <c r="E89" s="164" t="s">
        <v>226</v>
      </c>
      <c r="F89" s="163" t="s">
        <v>225</v>
      </c>
      <c r="G89" s="165">
        <v>1003172778</v>
      </c>
      <c r="H89" s="165">
        <v>776727575</v>
      </c>
      <c r="I89" s="47">
        <f>'[1]1st term 2025'!J84</f>
        <v>310000</v>
      </c>
      <c r="J89" s="37">
        <f>'term one 2026'!L93</f>
        <v>0</v>
      </c>
      <c r="K89" s="166">
        <f>200000+50000</f>
        <v>250000</v>
      </c>
      <c r="L89" s="39">
        <f t="shared" si="1"/>
        <v>60000</v>
      </c>
      <c r="M89" s="167" t="s">
        <v>227</v>
      </c>
      <c r="N89" s="169">
        <v>320000</v>
      </c>
      <c r="O89" s="42"/>
      <c r="P89" s="42"/>
    </row>
    <row r="90" spans="1:16" ht="15.75" x14ac:dyDescent="0.25">
      <c r="A90">
        <v>79</v>
      </c>
      <c r="B90" s="129">
        <v>3</v>
      </c>
      <c r="C90" s="163" t="s">
        <v>228</v>
      </c>
      <c r="D90" s="163"/>
      <c r="E90" s="170" t="s">
        <v>229</v>
      </c>
      <c r="F90" s="163" t="s">
        <v>225</v>
      </c>
      <c r="G90" s="171">
        <v>1006597116</v>
      </c>
      <c r="H90" s="171"/>
      <c r="I90" s="47">
        <f>'[1]1st term 2025'!J85</f>
        <v>310000</v>
      </c>
      <c r="J90" s="37">
        <f>'term one 2026'!L94</f>
        <v>0</v>
      </c>
      <c r="K90" s="172">
        <f>150000+160000</f>
        <v>310000</v>
      </c>
      <c r="L90" s="39">
        <f t="shared" si="1"/>
        <v>0</v>
      </c>
      <c r="M90" s="173" t="s">
        <v>214</v>
      </c>
      <c r="N90" s="154"/>
      <c r="O90" s="42"/>
      <c r="P90" s="42"/>
    </row>
    <row r="91" spans="1:16" ht="15.75" x14ac:dyDescent="0.25">
      <c r="A91">
        <v>80</v>
      </c>
      <c r="B91" s="129">
        <v>4</v>
      </c>
      <c r="C91" s="137" t="s">
        <v>230</v>
      </c>
      <c r="D91" s="137"/>
      <c r="E91" s="138" t="s">
        <v>231</v>
      </c>
      <c r="F91" s="163" t="s">
        <v>225</v>
      </c>
      <c r="G91" s="174">
        <v>1006613689</v>
      </c>
      <c r="H91" s="174"/>
      <c r="I91" s="47">
        <v>0</v>
      </c>
      <c r="J91" s="37">
        <f>'term one 2026'!L95</f>
        <v>0</v>
      </c>
      <c r="K91" s="175"/>
      <c r="L91" s="39">
        <f t="shared" si="1"/>
        <v>0</v>
      </c>
      <c r="M91" s="176" t="s">
        <v>214</v>
      </c>
      <c r="N91" s="154" t="s">
        <v>232</v>
      </c>
      <c r="O91" s="42"/>
      <c r="P91" s="42"/>
    </row>
    <row r="92" spans="1:16" ht="15.75" x14ac:dyDescent="0.25">
      <c r="A92">
        <v>81</v>
      </c>
      <c r="B92" s="129">
        <v>5</v>
      </c>
      <c r="C92" s="129" t="s">
        <v>24</v>
      </c>
      <c r="D92" s="129" t="s">
        <v>233</v>
      </c>
      <c r="E92" s="130" t="s">
        <v>234</v>
      </c>
      <c r="F92" s="129" t="s">
        <v>225</v>
      </c>
      <c r="G92" s="131">
        <v>1005532248</v>
      </c>
      <c r="H92" s="131"/>
      <c r="I92" s="49">
        <f>'[1]1st term 2025'!J89+20000</f>
        <v>330000</v>
      </c>
      <c r="J92" s="37">
        <f>'term one 2026'!L96</f>
        <v>110000</v>
      </c>
      <c r="K92" s="142">
        <f>200000+100000+100000+40000</f>
        <v>440000</v>
      </c>
      <c r="L92" s="81">
        <f>I92+J92-K92</f>
        <v>0</v>
      </c>
      <c r="M92" s="143"/>
      <c r="N92" s="268"/>
      <c r="O92" s="84"/>
      <c r="P92" s="84"/>
    </row>
    <row r="93" spans="1:16" ht="15.75" x14ac:dyDescent="0.25">
      <c r="A93">
        <v>82</v>
      </c>
      <c r="B93" s="129">
        <v>6</v>
      </c>
      <c r="C93" s="104" t="s">
        <v>235</v>
      </c>
      <c r="D93" s="104"/>
      <c r="E93" s="105" t="s">
        <v>236</v>
      </c>
      <c r="F93" s="163" t="s">
        <v>225</v>
      </c>
      <c r="G93" s="106">
        <v>1004773962</v>
      </c>
      <c r="H93" s="106">
        <v>782025680</v>
      </c>
      <c r="I93" s="47">
        <f>'[1]1st term 2025'!J90</f>
        <v>310000</v>
      </c>
      <c r="J93" s="37">
        <f>'term one 2026'!L97</f>
        <v>0</v>
      </c>
      <c r="K93" s="166">
        <f>230000+80000</f>
        <v>310000</v>
      </c>
      <c r="L93" s="39">
        <f t="shared" si="1"/>
        <v>0</v>
      </c>
      <c r="M93" s="177" t="s">
        <v>237</v>
      </c>
      <c r="N93" s="154"/>
      <c r="O93" s="42"/>
      <c r="P93" s="42"/>
    </row>
    <row r="94" spans="1:16" ht="15.75" x14ac:dyDescent="0.25">
      <c r="A94">
        <v>83</v>
      </c>
      <c r="B94" s="129">
        <v>7</v>
      </c>
      <c r="C94" s="155" t="s">
        <v>238</v>
      </c>
      <c r="D94" s="155" t="s">
        <v>239</v>
      </c>
      <c r="E94" s="156" t="s">
        <v>240</v>
      </c>
      <c r="F94" s="163" t="s">
        <v>225</v>
      </c>
      <c r="G94" s="157">
        <v>1008697259</v>
      </c>
      <c r="H94" s="157"/>
      <c r="I94" s="47">
        <f>'[1]1st term 2025'!J94+100000</f>
        <v>410000</v>
      </c>
      <c r="J94" s="37">
        <f>'term one 2026'!L98</f>
        <v>0</v>
      </c>
      <c r="K94" s="158">
        <f>100000+150000+160000</f>
        <v>410000</v>
      </c>
      <c r="L94" s="39">
        <f t="shared" si="1"/>
        <v>0</v>
      </c>
      <c r="M94" s="160"/>
      <c r="N94" s="154"/>
      <c r="O94" s="42"/>
      <c r="P94" s="42"/>
    </row>
    <row r="95" spans="1:16" ht="15.75" x14ac:dyDescent="0.25">
      <c r="A95">
        <v>84</v>
      </c>
      <c r="B95" s="129">
        <v>8</v>
      </c>
      <c r="C95" s="155" t="s">
        <v>33</v>
      </c>
      <c r="D95" s="155" t="s">
        <v>241</v>
      </c>
      <c r="E95" s="156" t="s">
        <v>242</v>
      </c>
      <c r="F95" s="163" t="s">
        <v>225</v>
      </c>
      <c r="G95" s="157">
        <v>1008713245</v>
      </c>
      <c r="H95" s="157"/>
      <c r="I95" s="47">
        <f>'[1]1st term 2025'!J95</f>
        <v>310000</v>
      </c>
      <c r="J95" s="37">
        <f>'term one 2026'!L99</f>
        <v>0</v>
      </c>
      <c r="K95" s="158">
        <f>50000+50000+200000+60000</f>
        <v>360000</v>
      </c>
      <c r="L95" s="39">
        <f t="shared" si="1"/>
        <v>-50000</v>
      </c>
      <c r="M95" s="160"/>
      <c r="N95" s="154"/>
      <c r="O95" s="42"/>
      <c r="P95" s="42"/>
    </row>
    <row r="96" spans="1:16" ht="15.75" x14ac:dyDescent="0.25">
      <c r="A96">
        <v>85</v>
      </c>
      <c r="B96" s="129">
        <v>9</v>
      </c>
      <c r="C96" s="155" t="s">
        <v>243</v>
      </c>
      <c r="D96" s="155"/>
      <c r="E96" s="156" t="s">
        <v>244</v>
      </c>
      <c r="F96" s="163" t="s">
        <v>225</v>
      </c>
      <c r="G96" s="157">
        <v>1008849945</v>
      </c>
      <c r="H96" s="157"/>
      <c r="I96" s="47">
        <f>290000</f>
        <v>290000</v>
      </c>
      <c r="J96" s="37">
        <f>'term one 2026'!L100</f>
        <v>0</v>
      </c>
      <c r="K96" s="158">
        <f>290000</f>
        <v>290000</v>
      </c>
      <c r="L96" s="39">
        <f t="shared" si="1"/>
        <v>0</v>
      </c>
      <c r="M96" s="160" t="s">
        <v>43</v>
      </c>
      <c r="N96" s="154"/>
      <c r="O96" s="42"/>
      <c r="P96" s="42"/>
    </row>
    <row r="97" spans="1:16" ht="15.75" x14ac:dyDescent="0.25">
      <c r="A97">
        <v>86</v>
      </c>
      <c r="B97" s="129">
        <v>10</v>
      </c>
      <c r="C97" s="149" t="s">
        <v>245</v>
      </c>
      <c r="D97" s="149" t="s">
        <v>246</v>
      </c>
      <c r="E97" s="150"/>
      <c r="F97" s="163" t="s">
        <v>225</v>
      </c>
      <c r="G97" s="151">
        <v>1008878445</v>
      </c>
      <c r="H97" s="151"/>
      <c r="I97" s="47">
        <f>'[1]1st term 2025'!J98</f>
        <v>80000</v>
      </c>
      <c r="J97" s="37">
        <f>'term one 2026'!L101</f>
        <v>0</v>
      </c>
      <c r="K97" s="152">
        <f>80000</f>
        <v>80000</v>
      </c>
      <c r="L97" s="39">
        <f t="shared" si="1"/>
        <v>0</v>
      </c>
      <c r="M97" s="153"/>
      <c r="N97" s="154"/>
      <c r="O97" s="42"/>
      <c r="P97" s="42"/>
    </row>
    <row r="98" spans="1:16" ht="15.75" x14ac:dyDescent="0.25">
      <c r="A98">
        <v>87</v>
      </c>
      <c r="B98" s="129">
        <v>11</v>
      </c>
      <c r="C98" s="155" t="s">
        <v>247</v>
      </c>
      <c r="D98" s="155" t="s">
        <v>248</v>
      </c>
      <c r="E98" s="156" t="s">
        <v>249</v>
      </c>
      <c r="F98" s="163" t="s">
        <v>225</v>
      </c>
      <c r="G98" s="157">
        <v>100888661</v>
      </c>
      <c r="H98" s="157"/>
      <c r="I98" s="47">
        <f>'[1]1st term 2025'!J99+20000</f>
        <v>280000</v>
      </c>
      <c r="J98" s="37">
        <f>'term one 2026'!L102</f>
        <v>0</v>
      </c>
      <c r="K98" s="158">
        <f>150000</f>
        <v>150000</v>
      </c>
      <c r="L98" s="39">
        <f t="shared" si="1"/>
        <v>130000</v>
      </c>
      <c r="M98" s="160"/>
      <c r="N98" s="154"/>
      <c r="O98" s="42"/>
      <c r="P98" s="42"/>
    </row>
    <row r="99" spans="1:16" ht="15.75" x14ac:dyDescent="0.25">
      <c r="A99">
        <v>88</v>
      </c>
      <c r="B99" s="129">
        <v>12</v>
      </c>
      <c r="C99" s="155" t="s">
        <v>250</v>
      </c>
      <c r="D99" s="155" t="s">
        <v>251</v>
      </c>
      <c r="E99" s="156" t="s">
        <v>252</v>
      </c>
      <c r="F99" s="163" t="s">
        <v>225</v>
      </c>
      <c r="G99" s="157">
        <v>1008894881</v>
      </c>
      <c r="H99" s="157"/>
      <c r="I99" s="47">
        <f>300000+100000</f>
        <v>400000</v>
      </c>
      <c r="J99" s="37">
        <f>'term one 2026'!L103</f>
        <v>0</v>
      </c>
      <c r="K99" s="158">
        <f>100000+100000</f>
        <v>200000</v>
      </c>
      <c r="L99" s="39">
        <f t="shared" si="1"/>
        <v>200000</v>
      </c>
      <c r="M99" s="160"/>
      <c r="N99" s="154"/>
      <c r="O99" s="42"/>
      <c r="P99" s="42"/>
    </row>
    <row r="100" spans="1:16" ht="15.75" x14ac:dyDescent="0.25">
      <c r="A100">
        <v>89</v>
      </c>
      <c r="B100" s="129">
        <v>13</v>
      </c>
      <c r="C100" s="155" t="s">
        <v>256</v>
      </c>
      <c r="D100" s="155"/>
      <c r="E100" s="156" t="s">
        <v>257</v>
      </c>
      <c r="F100" s="163" t="s">
        <v>225</v>
      </c>
      <c r="G100" s="157">
        <v>1008984556</v>
      </c>
      <c r="H100" s="157"/>
      <c r="I100" s="47">
        <f>'[1]1st term 2025'!J102</f>
        <v>400000</v>
      </c>
      <c r="J100" s="37">
        <f>'term one 2026'!L105</f>
        <v>0</v>
      </c>
      <c r="K100" s="158">
        <f>300000+100000</f>
        <v>400000</v>
      </c>
      <c r="L100" s="39">
        <f t="shared" si="1"/>
        <v>0</v>
      </c>
      <c r="M100" s="160" t="s">
        <v>131</v>
      </c>
      <c r="N100" s="154"/>
      <c r="O100" s="42"/>
      <c r="P100" s="42"/>
    </row>
    <row r="101" spans="1:16" ht="15.75" x14ac:dyDescent="0.25">
      <c r="A101">
        <v>90</v>
      </c>
      <c r="B101" s="129">
        <v>14</v>
      </c>
      <c r="C101" s="155" t="s">
        <v>258</v>
      </c>
      <c r="D101" s="155" t="s">
        <v>206</v>
      </c>
      <c r="E101" s="155" t="s">
        <v>259</v>
      </c>
      <c r="F101" s="129" t="s">
        <v>260</v>
      </c>
      <c r="G101" s="157">
        <v>1010605242</v>
      </c>
      <c r="H101" s="157"/>
      <c r="I101" s="49">
        <f>310000+130000</f>
        <v>440000</v>
      </c>
      <c r="J101" s="37">
        <f>'term one 2026'!L106</f>
        <v>0</v>
      </c>
      <c r="K101" s="158">
        <f>160000+130000+50000+100000</f>
        <v>440000</v>
      </c>
      <c r="L101" s="178">
        <f>I101+J101-K101</f>
        <v>0</v>
      </c>
      <c r="M101" s="179"/>
      <c r="N101" s="179"/>
      <c r="O101" s="78"/>
      <c r="P101" s="78"/>
    </row>
    <row r="102" spans="1:16" ht="15.75" x14ac:dyDescent="0.25">
      <c r="A102">
        <v>91</v>
      </c>
      <c r="B102" s="129">
        <v>15</v>
      </c>
      <c r="C102" s="155" t="s">
        <v>261</v>
      </c>
      <c r="D102" s="155" t="s">
        <v>262</v>
      </c>
      <c r="E102" s="155"/>
      <c r="F102" s="129" t="s">
        <v>260</v>
      </c>
      <c r="G102" s="157">
        <v>1010668311</v>
      </c>
      <c r="H102" s="157"/>
      <c r="I102" s="49">
        <v>275000</v>
      </c>
      <c r="J102" s="37">
        <f>'term one 2026'!L107</f>
        <v>0</v>
      </c>
      <c r="K102" s="158">
        <f>100000+75000+50000</f>
        <v>225000</v>
      </c>
      <c r="L102" s="178">
        <f t="shared" si="1"/>
        <v>50000</v>
      </c>
      <c r="M102" s="179"/>
      <c r="N102" s="179"/>
      <c r="O102" s="78"/>
      <c r="P102" s="78"/>
    </row>
    <row r="103" spans="1:16" ht="15.75" x14ac:dyDescent="0.25">
      <c r="A103">
        <v>92</v>
      </c>
      <c r="B103" s="129">
        <v>16</v>
      </c>
      <c r="C103" s="195" t="s">
        <v>539</v>
      </c>
      <c r="D103" s="195" t="s">
        <v>540</v>
      </c>
      <c r="E103" s="195"/>
      <c r="F103" s="129" t="s">
        <v>260</v>
      </c>
      <c r="G103" s="197"/>
      <c r="H103" s="197"/>
      <c r="I103" s="63"/>
      <c r="J103" s="37">
        <f>'term one 2026'!L108</f>
        <v>0</v>
      </c>
      <c r="K103" s="198"/>
      <c r="L103" s="224">
        <f t="shared" si="1"/>
        <v>0</v>
      </c>
      <c r="M103" s="225"/>
      <c r="N103" s="225"/>
      <c r="O103" s="59"/>
      <c r="P103" s="59"/>
    </row>
    <row r="104" spans="1:16" ht="15.75" x14ac:dyDescent="0.25">
      <c r="A104">
        <v>93</v>
      </c>
      <c r="B104" s="129">
        <v>17</v>
      </c>
      <c r="C104" s="291" t="s">
        <v>724</v>
      </c>
      <c r="D104" s="291" t="s">
        <v>725</v>
      </c>
      <c r="E104" s="291"/>
      <c r="F104" s="227" t="s">
        <v>260</v>
      </c>
      <c r="G104" s="292"/>
      <c r="H104" s="292"/>
      <c r="I104" s="293">
        <f>310000</f>
        <v>310000</v>
      </c>
      <c r="J104" s="294">
        <f>'term one 2026'!L109</f>
        <v>0</v>
      </c>
      <c r="K104" s="295">
        <f>101000+100000+100000</f>
        <v>301000</v>
      </c>
      <c r="L104" s="224">
        <f t="shared" si="1"/>
        <v>9000</v>
      </c>
      <c r="M104" s="296"/>
      <c r="N104" s="296"/>
      <c r="O104" s="143"/>
      <c r="P104" s="143"/>
    </row>
    <row r="105" spans="1:16" s="261" customFormat="1" ht="15.75" x14ac:dyDescent="0.25">
      <c r="A105">
        <v>94</v>
      </c>
      <c r="B105" s="129">
        <v>18</v>
      </c>
      <c r="C105" s="291" t="s">
        <v>743</v>
      </c>
      <c r="D105" s="291" t="s">
        <v>744</v>
      </c>
      <c r="E105" s="291" t="s">
        <v>745</v>
      </c>
      <c r="F105" s="227" t="s">
        <v>260</v>
      </c>
      <c r="G105" s="292"/>
      <c r="H105" s="292"/>
      <c r="I105" s="293">
        <f>310000</f>
        <v>310000</v>
      </c>
      <c r="J105" s="308"/>
      <c r="K105" s="295">
        <f>100000+100000</f>
        <v>200000</v>
      </c>
      <c r="L105" s="298">
        <f t="shared" si="1"/>
        <v>110000</v>
      </c>
      <c r="M105" s="296"/>
      <c r="N105" s="296"/>
      <c r="O105" s="143"/>
      <c r="P105" s="143"/>
    </row>
    <row r="106" spans="1:16" s="267" customFormat="1" ht="15.75" x14ac:dyDescent="0.25">
      <c r="A106">
        <v>95</v>
      </c>
      <c r="B106" s="129">
        <v>19</v>
      </c>
      <c r="C106" s="300" t="s">
        <v>746</v>
      </c>
      <c r="D106" s="300" t="s">
        <v>747</v>
      </c>
      <c r="E106" s="300"/>
      <c r="F106" s="299" t="s">
        <v>260</v>
      </c>
      <c r="G106" s="301"/>
      <c r="H106" s="301"/>
      <c r="I106" s="302">
        <f>80000</f>
        <v>80000</v>
      </c>
      <c r="J106" s="303"/>
      <c r="K106" s="304"/>
      <c r="L106" s="305">
        <f t="shared" si="1"/>
        <v>80000</v>
      </c>
      <c r="M106" s="306"/>
      <c r="N106" s="306"/>
      <c r="O106" s="307"/>
      <c r="P106" s="307"/>
    </row>
    <row r="107" spans="1:16" s="267" customFormat="1" ht="15.75" x14ac:dyDescent="0.25">
      <c r="A107">
        <v>96</v>
      </c>
      <c r="B107" s="129">
        <v>20</v>
      </c>
      <c r="C107" s="300" t="s">
        <v>748</v>
      </c>
      <c r="D107" s="300" t="s">
        <v>749</v>
      </c>
      <c r="E107" s="300"/>
      <c r="F107" s="299" t="s">
        <v>260</v>
      </c>
      <c r="G107" s="301"/>
      <c r="H107" s="301"/>
      <c r="I107" s="302">
        <f>310000</f>
        <v>310000</v>
      </c>
      <c r="J107" s="303"/>
      <c r="K107" s="304"/>
      <c r="L107" s="305">
        <f t="shared" si="1"/>
        <v>310000</v>
      </c>
      <c r="M107" s="306"/>
      <c r="N107" s="306"/>
      <c r="O107" s="307"/>
      <c r="P107" s="307"/>
    </row>
    <row r="108" spans="1:16" s="297" customFormat="1" ht="15.75" x14ac:dyDescent="0.25">
      <c r="A108">
        <v>97</v>
      </c>
      <c r="B108" s="129">
        <v>21</v>
      </c>
      <c r="C108" s="155" t="s">
        <v>742</v>
      </c>
      <c r="D108" s="155" t="s">
        <v>740</v>
      </c>
      <c r="E108" s="155"/>
      <c r="F108" s="227" t="s">
        <v>260</v>
      </c>
      <c r="G108" s="157"/>
      <c r="H108" s="157"/>
      <c r="I108" s="293">
        <f>310000-50000</f>
        <v>260000</v>
      </c>
      <c r="J108" s="48"/>
      <c r="K108" s="158">
        <f>100000</f>
        <v>100000</v>
      </c>
      <c r="L108" s="298">
        <f t="shared" si="1"/>
        <v>160000</v>
      </c>
      <c r="M108" s="179"/>
      <c r="N108" s="179"/>
      <c r="O108" s="78"/>
      <c r="P108" s="78"/>
    </row>
    <row r="109" spans="1:16" ht="15.75" x14ac:dyDescent="0.25">
      <c r="B109" s="285"/>
      <c r="C109" s="286"/>
      <c r="D109" s="286"/>
      <c r="E109" s="286"/>
      <c r="F109" s="285"/>
      <c r="G109" s="287"/>
      <c r="H109" s="287"/>
      <c r="I109" s="288"/>
      <c r="J109" s="37"/>
      <c r="K109" s="289"/>
      <c r="L109" s="290"/>
      <c r="M109" s="160"/>
      <c r="N109" s="160"/>
      <c r="O109" s="84"/>
      <c r="P109" s="84"/>
    </row>
    <row r="110" spans="1:16" ht="15.75" x14ac:dyDescent="0.25">
      <c r="B110" s="42"/>
      <c r="C110" s="41"/>
      <c r="D110" s="41"/>
      <c r="E110" s="41"/>
      <c r="F110" s="42"/>
      <c r="G110" s="42"/>
      <c r="H110" s="42"/>
      <c r="I110" s="42"/>
      <c r="J110" s="37">
        <f>'term one 2026'!L110</f>
        <v>0</v>
      </c>
      <c r="K110" s="42"/>
      <c r="L110" s="180">
        <f t="shared" si="1"/>
        <v>0</v>
      </c>
      <c r="M110" s="42"/>
      <c r="N110" s="42"/>
      <c r="O110" s="42"/>
      <c r="P110" s="42"/>
    </row>
    <row r="111" spans="1:16" ht="18.75" x14ac:dyDescent="0.3">
      <c r="B111" s="129"/>
      <c r="C111" s="181" t="s">
        <v>263</v>
      </c>
      <c r="D111" s="104" t="s">
        <v>221</v>
      </c>
      <c r="E111" s="105"/>
      <c r="F111" s="106"/>
      <c r="G111" s="106"/>
      <c r="H111" s="106"/>
      <c r="I111" s="47">
        <f>'[1]1st term 2025'!J109</f>
        <v>0</v>
      </c>
      <c r="J111" s="37">
        <f>'term one 2026'!L111</f>
        <v>0</v>
      </c>
      <c r="K111" s="166"/>
      <c r="L111" s="39">
        <f t="shared" si="1"/>
        <v>0</v>
      </c>
      <c r="M111" s="182"/>
      <c r="N111" s="42"/>
      <c r="O111" s="42"/>
      <c r="P111" s="42"/>
    </row>
    <row r="112" spans="1:16" ht="15.75" x14ac:dyDescent="0.25">
      <c r="A112">
        <v>98</v>
      </c>
      <c r="B112" s="129">
        <v>1</v>
      </c>
      <c r="C112" s="183" t="s">
        <v>70</v>
      </c>
      <c r="D112" s="183"/>
      <c r="E112" s="184" t="s">
        <v>264</v>
      </c>
      <c r="F112" s="104" t="s">
        <v>265</v>
      </c>
      <c r="G112" s="185">
        <v>1003468140</v>
      </c>
      <c r="H112" s="185">
        <v>709324224</v>
      </c>
      <c r="I112" s="47">
        <f>67000</f>
        <v>67000</v>
      </c>
      <c r="J112" s="37">
        <v>0</v>
      </c>
      <c r="K112" s="186">
        <f>60000</f>
        <v>60000</v>
      </c>
      <c r="L112" s="39">
        <f t="shared" si="1"/>
        <v>7000</v>
      </c>
      <c r="M112" s="187"/>
      <c r="N112" s="188"/>
      <c r="O112" s="42"/>
      <c r="P112" s="42"/>
    </row>
    <row r="113" spans="1:16" ht="15.75" x14ac:dyDescent="0.25">
      <c r="A113">
        <v>99</v>
      </c>
      <c r="B113" s="129">
        <v>2</v>
      </c>
      <c r="C113" s="163" t="s">
        <v>44</v>
      </c>
      <c r="D113" s="163" t="s">
        <v>266</v>
      </c>
      <c r="E113" s="164" t="s">
        <v>267</v>
      </c>
      <c r="F113" s="104" t="s">
        <v>265</v>
      </c>
      <c r="G113" s="165">
        <v>1003297990</v>
      </c>
      <c r="H113" s="165">
        <v>772682179</v>
      </c>
      <c r="I113" s="47">
        <f>'[1]1st term 2025'!J112</f>
        <v>310000</v>
      </c>
      <c r="J113" s="37">
        <f>'term one 2026'!L113</f>
        <v>0</v>
      </c>
      <c r="K113" s="166">
        <f>150000+100000</f>
        <v>250000</v>
      </c>
      <c r="L113" s="39">
        <f t="shared" si="1"/>
        <v>60000</v>
      </c>
      <c r="M113" s="167"/>
      <c r="N113" s="99"/>
      <c r="O113" s="42"/>
      <c r="P113" s="42"/>
    </row>
    <row r="114" spans="1:16" s="267" customFormat="1" ht="15.75" x14ac:dyDescent="0.25">
      <c r="A114">
        <v>100</v>
      </c>
      <c r="B114" s="129">
        <v>3</v>
      </c>
      <c r="C114" s="262" t="s">
        <v>268</v>
      </c>
      <c r="D114" s="262"/>
      <c r="E114" s="263" t="s">
        <v>269</v>
      </c>
      <c r="F114" s="262" t="s">
        <v>265</v>
      </c>
      <c r="G114" s="264">
        <v>1003939847</v>
      </c>
      <c r="H114" s="264">
        <v>705362439</v>
      </c>
      <c r="I114" s="89">
        <f>80000+440000</f>
        <v>520000</v>
      </c>
      <c r="J114" s="265">
        <v>0</v>
      </c>
      <c r="K114" s="266">
        <f>440000+50000</f>
        <v>490000</v>
      </c>
      <c r="L114" s="90">
        <f t="shared" si="1"/>
        <v>30000</v>
      </c>
      <c r="M114" s="85" t="s">
        <v>270</v>
      </c>
      <c r="N114" s="93"/>
      <c r="O114" s="93"/>
      <c r="P114" s="93"/>
    </row>
    <row r="115" spans="1:16" ht="21" customHeight="1" x14ac:dyDescent="0.25">
      <c r="A115">
        <v>101</v>
      </c>
      <c r="B115" s="129">
        <v>4</v>
      </c>
      <c r="C115" s="132" t="s">
        <v>271</v>
      </c>
      <c r="D115" s="132" t="s">
        <v>272</v>
      </c>
      <c r="E115" s="133" t="s">
        <v>273</v>
      </c>
      <c r="F115" s="104" t="s">
        <v>265</v>
      </c>
      <c r="G115" s="134">
        <v>1003548101</v>
      </c>
      <c r="H115" s="134"/>
      <c r="I115" s="47">
        <v>0</v>
      </c>
      <c r="J115" s="37">
        <f>'term one 2026'!L115</f>
        <v>0</v>
      </c>
      <c r="K115" s="135"/>
      <c r="L115" s="39">
        <f t="shared" si="1"/>
        <v>0</v>
      </c>
      <c r="M115" s="59"/>
      <c r="N115" s="42"/>
      <c r="O115" s="42"/>
      <c r="P115" s="42"/>
    </row>
    <row r="116" spans="1:16" ht="15.75" x14ac:dyDescent="0.25">
      <c r="A116">
        <v>102</v>
      </c>
      <c r="B116" s="129">
        <v>5</v>
      </c>
      <c r="C116" s="104" t="s">
        <v>274</v>
      </c>
      <c r="D116" s="104"/>
      <c r="E116" s="105" t="s">
        <v>275</v>
      </c>
      <c r="F116" s="104" t="s">
        <v>265</v>
      </c>
      <c r="G116" s="106">
        <v>1003272934</v>
      </c>
      <c r="H116" s="106">
        <v>703654744</v>
      </c>
      <c r="I116" s="47">
        <f>275000</f>
        <v>275000</v>
      </c>
      <c r="J116" s="37">
        <v>0</v>
      </c>
      <c r="K116" s="166">
        <f>50000+35000+35000+100000</f>
        <v>220000</v>
      </c>
      <c r="L116" s="39">
        <f t="shared" si="1"/>
        <v>55000</v>
      </c>
      <c r="M116" s="108"/>
      <c r="N116" s="42"/>
      <c r="O116" s="42"/>
      <c r="P116" s="42"/>
    </row>
    <row r="117" spans="1:16" ht="15.75" x14ac:dyDescent="0.25">
      <c r="A117">
        <v>103</v>
      </c>
      <c r="B117" s="129">
        <v>6</v>
      </c>
      <c r="C117" s="104" t="s">
        <v>276</v>
      </c>
      <c r="D117" s="104" t="s">
        <v>277</v>
      </c>
      <c r="E117" s="105" t="s">
        <v>278</v>
      </c>
      <c r="F117" s="104" t="s">
        <v>265</v>
      </c>
      <c r="G117" s="106"/>
      <c r="H117" s="106">
        <v>754770660</v>
      </c>
      <c r="I117" s="47">
        <f>'[1]1st term 2025'!J116+20000</f>
        <v>330000</v>
      </c>
      <c r="J117" s="37">
        <f>'term one 2026'!L117</f>
        <v>60000</v>
      </c>
      <c r="K117" s="166">
        <f>60000+100000+100000+130000</f>
        <v>390000</v>
      </c>
      <c r="L117" s="39">
        <f t="shared" si="1"/>
        <v>0</v>
      </c>
      <c r="M117" s="189"/>
      <c r="N117" s="42"/>
      <c r="O117" s="42"/>
      <c r="P117" s="42"/>
    </row>
    <row r="118" spans="1:16" ht="15.75" x14ac:dyDescent="0.25">
      <c r="A118">
        <v>104</v>
      </c>
      <c r="B118" s="129">
        <v>7</v>
      </c>
      <c r="C118" s="163" t="s">
        <v>40</v>
      </c>
      <c r="D118" s="163" t="s">
        <v>279</v>
      </c>
      <c r="E118" s="164" t="s">
        <v>135</v>
      </c>
      <c r="F118" s="104" t="s">
        <v>265</v>
      </c>
      <c r="G118" s="165">
        <v>1003307679</v>
      </c>
      <c r="H118" s="165">
        <v>752818987</v>
      </c>
      <c r="I118" s="47">
        <f>310000+20000</f>
        <v>330000</v>
      </c>
      <c r="J118" s="37">
        <f>'term one 2026'!L118</f>
        <v>210000</v>
      </c>
      <c r="K118" s="166">
        <f>400000+140000</f>
        <v>540000</v>
      </c>
      <c r="L118" s="39">
        <f t="shared" si="1"/>
        <v>0</v>
      </c>
      <c r="M118" s="177" t="s">
        <v>131</v>
      </c>
      <c r="N118" s="42"/>
      <c r="O118" s="42"/>
      <c r="P118" s="42"/>
    </row>
    <row r="119" spans="1:16" ht="15.75" x14ac:dyDescent="0.25">
      <c r="A119">
        <v>105</v>
      </c>
      <c r="B119" s="129">
        <v>8</v>
      </c>
      <c r="C119" s="137" t="s">
        <v>280</v>
      </c>
      <c r="D119" s="137"/>
      <c r="E119" s="138" t="s">
        <v>281</v>
      </c>
      <c r="F119" s="104" t="s">
        <v>265</v>
      </c>
      <c r="G119" s="139">
        <v>1006613665</v>
      </c>
      <c r="H119" s="139"/>
      <c r="I119" s="47">
        <v>0</v>
      </c>
      <c r="J119" s="37">
        <f>'term one 2026'!L119</f>
        <v>0</v>
      </c>
      <c r="K119" s="140"/>
      <c r="L119" s="39">
        <f t="shared" si="1"/>
        <v>0</v>
      </c>
      <c r="M119" s="141" t="s">
        <v>214</v>
      </c>
      <c r="N119" s="42"/>
      <c r="O119" s="42"/>
      <c r="P119" s="42"/>
    </row>
    <row r="120" spans="1:16" ht="15.75" x14ac:dyDescent="0.25">
      <c r="A120">
        <v>106</v>
      </c>
      <c r="B120" s="129">
        <v>9</v>
      </c>
      <c r="C120" s="163" t="s">
        <v>282</v>
      </c>
      <c r="D120" s="163" t="s">
        <v>283</v>
      </c>
      <c r="E120" s="164" t="s">
        <v>284</v>
      </c>
      <c r="F120" s="104" t="s">
        <v>265</v>
      </c>
      <c r="G120" s="165">
        <v>1006831724</v>
      </c>
      <c r="H120" s="165"/>
      <c r="I120" s="47">
        <f>'[1]1st term 2025'!J120</f>
        <v>310000</v>
      </c>
      <c r="J120" s="37">
        <f>'term one 2026'!L120</f>
        <v>-360000</v>
      </c>
      <c r="K120" s="166"/>
      <c r="L120" s="39">
        <f t="shared" si="1"/>
        <v>-50000</v>
      </c>
      <c r="M120" s="108"/>
      <c r="N120" s="42"/>
      <c r="O120" s="42"/>
      <c r="P120" s="42"/>
    </row>
    <row r="121" spans="1:16" ht="15.75" x14ac:dyDescent="0.25">
      <c r="A121">
        <v>107</v>
      </c>
      <c r="B121" s="129">
        <v>10</v>
      </c>
      <c r="C121" s="163" t="s">
        <v>285</v>
      </c>
      <c r="D121" s="163"/>
      <c r="E121" s="164" t="s">
        <v>286</v>
      </c>
      <c r="F121" s="104" t="s">
        <v>265</v>
      </c>
      <c r="G121" s="165">
        <v>1006959658</v>
      </c>
      <c r="H121" s="165"/>
      <c r="I121" s="47">
        <f>'[1]1st term 2025'!J121+20000</f>
        <v>330000</v>
      </c>
      <c r="J121" s="37">
        <f>'term one 2026'!L121</f>
        <v>0</v>
      </c>
      <c r="K121" s="166">
        <f>160000+170000</f>
        <v>330000</v>
      </c>
      <c r="L121" s="39">
        <f t="shared" si="1"/>
        <v>0</v>
      </c>
      <c r="M121" s="108"/>
      <c r="N121" s="42"/>
      <c r="O121" s="42"/>
      <c r="P121" s="42"/>
    </row>
    <row r="122" spans="1:16" ht="15.75" x14ac:dyDescent="0.25">
      <c r="A122">
        <v>108</v>
      </c>
      <c r="B122" s="129">
        <v>11</v>
      </c>
      <c r="C122" s="190" t="s">
        <v>287</v>
      </c>
      <c r="D122" s="190" t="s">
        <v>288</v>
      </c>
      <c r="E122" s="191" t="s">
        <v>289</v>
      </c>
      <c r="F122" s="104" t="s">
        <v>265</v>
      </c>
      <c r="G122" s="192">
        <v>1007019895</v>
      </c>
      <c r="H122" s="192"/>
      <c r="I122" s="47">
        <f>'[1]1st term 2025'!J122</f>
        <v>170000</v>
      </c>
      <c r="J122" s="37">
        <v>0</v>
      </c>
      <c r="K122" s="193">
        <f>100000</f>
        <v>100000</v>
      </c>
      <c r="L122" s="39">
        <f t="shared" si="1"/>
        <v>70000</v>
      </c>
      <c r="M122" s="98" t="s">
        <v>131</v>
      </c>
      <c r="N122" s="42"/>
      <c r="O122" s="42"/>
      <c r="P122" s="42"/>
    </row>
    <row r="123" spans="1:16" ht="15.75" x14ac:dyDescent="0.25">
      <c r="A123">
        <v>109</v>
      </c>
      <c r="B123" s="129">
        <v>12</v>
      </c>
      <c r="C123" s="129" t="s">
        <v>290</v>
      </c>
      <c r="D123" s="129" t="s">
        <v>291</v>
      </c>
      <c r="E123" s="130" t="s">
        <v>292</v>
      </c>
      <c r="F123" s="104" t="s">
        <v>265</v>
      </c>
      <c r="G123" s="131">
        <v>1006836474</v>
      </c>
      <c r="H123" s="131"/>
      <c r="I123" s="47">
        <f>'[1]1st term 2025'!J123</f>
        <v>310000</v>
      </c>
      <c r="J123" s="37">
        <f>'term one 2026'!L123</f>
        <v>0</v>
      </c>
      <c r="K123" s="107">
        <f>330000</f>
        <v>330000</v>
      </c>
      <c r="L123" s="39">
        <f t="shared" si="1"/>
        <v>-20000</v>
      </c>
      <c r="M123" s="78"/>
      <c r="N123" s="42"/>
      <c r="O123" s="42"/>
      <c r="P123" s="42"/>
    </row>
    <row r="124" spans="1:16" ht="15.75" x14ac:dyDescent="0.25">
      <c r="A124">
        <v>110</v>
      </c>
      <c r="B124" s="129">
        <v>13</v>
      </c>
      <c r="C124" s="132" t="s">
        <v>293</v>
      </c>
      <c r="D124" s="132" t="s">
        <v>294</v>
      </c>
      <c r="E124" s="133"/>
      <c r="F124" s="104" t="s">
        <v>265</v>
      </c>
      <c r="G124" s="134">
        <v>1007278529</v>
      </c>
      <c r="H124" s="134"/>
      <c r="I124" s="47">
        <v>0</v>
      </c>
      <c r="J124" s="37">
        <f>'term one 2026'!L124</f>
        <v>0</v>
      </c>
      <c r="K124" s="135"/>
      <c r="L124" s="39">
        <f t="shared" si="1"/>
        <v>0</v>
      </c>
      <c r="M124" s="59" t="s">
        <v>295</v>
      </c>
      <c r="N124" s="42"/>
      <c r="O124" s="42"/>
      <c r="P124" s="42"/>
    </row>
    <row r="125" spans="1:16" ht="15.75" x14ac:dyDescent="0.25">
      <c r="A125">
        <v>111</v>
      </c>
      <c r="B125" s="129">
        <v>14</v>
      </c>
      <c r="C125" s="183" t="s">
        <v>296</v>
      </c>
      <c r="D125" s="183" t="s">
        <v>297</v>
      </c>
      <c r="E125" s="184"/>
      <c r="F125" s="104" t="s">
        <v>265</v>
      </c>
      <c r="G125" s="185"/>
      <c r="H125" s="185"/>
      <c r="I125" s="47">
        <v>0</v>
      </c>
      <c r="J125" s="37">
        <f>'term one 2026'!L125</f>
        <v>0</v>
      </c>
      <c r="K125" s="186"/>
      <c r="L125" s="39">
        <f>I125+J125-K125</f>
        <v>0</v>
      </c>
      <c r="M125" s="187" t="s">
        <v>131</v>
      </c>
      <c r="N125" s="42" t="s">
        <v>170</v>
      </c>
      <c r="O125" s="42"/>
      <c r="P125" s="42"/>
    </row>
    <row r="126" spans="1:16" ht="15.75" x14ac:dyDescent="0.25">
      <c r="A126">
        <v>112</v>
      </c>
      <c r="B126" s="129">
        <v>15</v>
      </c>
      <c r="C126" s="129" t="s">
        <v>298</v>
      </c>
      <c r="D126" s="129" t="s">
        <v>299</v>
      </c>
      <c r="E126" s="130"/>
      <c r="F126" s="104" t="s">
        <v>265</v>
      </c>
      <c r="G126" s="131">
        <v>1008698601</v>
      </c>
      <c r="H126" s="131"/>
      <c r="I126" s="47">
        <f>310000+150000</f>
        <v>460000</v>
      </c>
      <c r="J126" s="37">
        <f>'term one 2026'!L126</f>
        <v>0</v>
      </c>
      <c r="K126" s="107">
        <f>200000+210000+50000</f>
        <v>460000</v>
      </c>
      <c r="L126" s="39">
        <f t="shared" si="1"/>
        <v>0</v>
      </c>
      <c r="M126" s="78" t="s">
        <v>536</v>
      </c>
      <c r="N126" s="42"/>
      <c r="O126" s="42"/>
      <c r="P126" s="42"/>
    </row>
    <row r="127" spans="1:16" ht="15.75" x14ac:dyDescent="0.25">
      <c r="A127">
        <v>113</v>
      </c>
      <c r="B127" s="129">
        <v>16</v>
      </c>
      <c r="C127" s="129" t="s">
        <v>300</v>
      </c>
      <c r="D127" s="129"/>
      <c r="E127" s="130" t="s">
        <v>301</v>
      </c>
      <c r="F127" s="104" t="s">
        <v>265</v>
      </c>
      <c r="G127" s="131">
        <v>1008704587</v>
      </c>
      <c r="H127" s="131"/>
      <c r="I127" s="47">
        <f>'[1]1st term 2025'!J127</f>
        <v>310000</v>
      </c>
      <c r="J127" s="37">
        <f>'term one 2026'!L127</f>
        <v>0</v>
      </c>
      <c r="K127" s="107">
        <f>80000+15000+14000+52000+50000</f>
        <v>211000</v>
      </c>
      <c r="L127" s="39">
        <f>I127+J127-K127</f>
        <v>99000</v>
      </c>
      <c r="M127" s="78" t="s">
        <v>527</v>
      </c>
      <c r="N127" s="42"/>
      <c r="O127" s="42"/>
      <c r="P127" s="42"/>
    </row>
    <row r="128" spans="1:16" ht="15.75" x14ac:dyDescent="0.25">
      <c r="A128">
        <v>114</v>
      </c>
      <c r="B128" s="129">
        <v>17</v>
      </c>
      <c r="C128" s="190" t="s">
        <v>302</v>
      </c>
      <c r="D128" s="194" t="s">
        <v>303</v>
      </c>
      <c r="E128" s="191"/>
      <c r="F128" s="104" t="s">
        <v>265</v>
      </c>
      <c r="G128" s="192">
        <v>1008878201</v>
      </c>
      <c r="H128" s="192"/>
      <c r="I128" s="47">
        <f>170000</f>
        <v>170000</v>
      </c>
      <c r="J128" s="37">
        <f>'term one 2026'!L128</f>
        <v>0</v>
      </c>
      <c r="K128" s="193"/>
      <c r="L128" s="39">
        <f t="shared" si="1"/>
        <v>170000</v>
      </c>
      <c r="M128" s="98"/>
      <c r="N128" s="42"/>
      <c r="O128" s="42"/>
      <c r="P128" s="42"/>
    </row>
    <row r="129" spans="1:16" ht="15.75" x14ac:dyDescent="0.25">
      <c r="A129">
        <v>115</v>
      </c>
      <c r="B129" s="129">
        <v>18</v>
      </c>
      <c r="C129" s="190" t="s">
        <v>245</v>
      </c>
      <c r="D129" s="190" t="s">
        <v>304</v>
      </c>
      <c r="E129" s="191"/>
      <c r="F129" s="104" t="s">
        <v>265</v>
      </c>
      <c r="G129" s="192">
        <v>1008878377</v>
      </c>
      <c r="H129" s="192"/>
      <c r="I129" s="47">
        <f>170000</f>
        <v>170000</v>
      </c>
      <c r="J129" s="37">
        <f>'term one 2026'!L129</f>
        <v>0</v>
      </c>
      <c r="K129" s="193">
        <f>100000+70000</f>
        <v>170000</v>
      </c>
      <c r="L129" s="39">
        <f t="shared" si="1"/>
        <v>0</v>
      </c>
      <c r="M129" s="98"/>
      <c r="N129" s="42"/>
      <c r="O129" s="42"/>
      <c r="P129" s="42"/>
    </row>
    <row r="130" spans="1:16" ht="15.75" x14ac:dyDescent="0.25">
      <c r="A130">
        <v>116</v>
      </c>
      <c r="B130" s="129">
        <v>19</v>
      </c>
      <c r="C130" s="129" t="s">
        <v>305</v>
      </c>
      <c r="D130" s="129" t="s">
        <v>180</v>
      </c>
      <c r="E130" s="130"/>
      <c r="F130" s="104" t="s">
        <v>265</v>
      </c>
      <c r="G130" s="131">
        <v>1009035618</v>
      </c>
      <c r="H130" s="131"/>
      <c r="I130" s="47">
        <f>'[1]1st term 2025'!J130+20000+20000</f>
        <v>470000</v>
      </c>
      <c r="J130" s="37">
        <f>'term one 2026'!L130</f>
        <v>305000</v>
      </c>
      <c r="K130" s="107">
        <f>200000</f>
        <v>200000</v>
      </c>
      <c r="L130" s="39">
        <f t="shared" si="1"/>
        <v>575000</v>
      </c>
      <c r="M130" s="78" t="s">
        <v>295</v>
      </c>
      <c r="N130" s="109">
        <v>307000</v>
      </c>
      <c r="O130" s="42"/>
      <c r="P130" s="42"/>
    </row>
    <row r="131" spans="1:16" ht="15.75" x14ac:dyDescent="0.25">
      <c r="A131">
        <v>117</v>
      </c>
      <c r="B131" s="129">
        <v>20</v>
      </c>
      <c r="C131" s="155" t="s">
        <v>306</v>
      </c>
      <c r="D131" s="155" t="s">
        <v>307</v>
      </c>
      <c r="E131" s="156" t="s">
        <v>308</v>
      </c>
      <c r="F131" s="104" t="s">
        <v>265</v>
      </c>
      <c r="G131" s="157">
        <v>100888871</v>
      </c>
      <c r="H131" s="157"/>
      <c r="I131" s="47">
        <f>'[1]1st term 2025'!J131+20000</f>
        <v>280000</v>
      </c>
      <c r="J131" s="37">
        <f>'term one 2026'!L131</f>
        <v>0</v>
      </c>
      <c r="K131" s="158">
        <f>150000</f>
        <v>150000</v>
      </c>
      <c r="L131" s="39">
        <f t="shared" si="1"/>
        <v>130000</v>
      </c>
      <c r="M131" s="160"/>
      <c r="N131" s="154"/>
      <c r="O131" s="42"/>
      <c r="P131" s="42"/>
    </row>
    <row r="132" spans="1:16" ht="15.75" x14ac:dyDescent="0.25">
      <c r="A132">
        <v>118</v>
      </c>
      <c r="B132" s="129">
        <v>21</v>
      </c>
      <c r="C132" s="155" t="s">
        <v>309</v>
      </c>
      <c r="D132" s="155" t="s">
        <v>310</v>
      </c>
      <c r="E132" s="156" t="s">
        <v>311</v>
      </c>
      <c r="F132" s="104" t="s">
        <v>265</v>
      </c>
      <c r="G132" s="157"/>
      <c r="H132" s="157"/>
      <c r="I132" s="47">
        <f>310000</f>
        <v>310000</v>
      </c>
      <c r="J132" s="37">
        <f>'term one 2026'!L132</f>
        <v>0</v>
      </c>
      <c r="K132" s="158">
        <f>150000+150000</f>
        <v>300000</v>
      </c>
      <c r="L132" s="39">
        <f t="shared" ref="L132:L192" si="2">I132+J132-K132</f>
        <v>10000</v>
      </c>
      <c r="M132" s="160" t="s">
        <v>131</v>
      </c>
      <c r="N132" s="154"/>
      <c r="O132" s="42"/>
      <c r="P132" s="42"/>
    </row>
    <row r="133" spans="1:16" ht="15.75" x14ac:dyDescent="0.25">
      <c r="A133">
        <v>119</v>
      </c>
      <c r="B133" s="129">
        <v>22</v>
      </c>
      <c r="C133" s="155" t="s">
        <v>312</v>
      </c>
      <c r="D133" s="155" t="s">
        <v>313</v>
      </c>
      <c r="E133" s="156"/>
      <c r="F133" s="104" t="s">
        <v>265</v>
      </c>
      <c r="G133" s="157">
        <v>1010509300</v>
      </c>
      <c r="H133" s="157"/>
      <c r="I133" s="47">
        <v>310000</v>
      </c>
      <c r="J133" s="37">
        <f>'term one 2026'!L133</f>
        <v>0</v>
      </c>
      <c r="K133" s="158">
        <f>140000</f>
        <v>140000</v>
      </c>
      <c r="L133" s="39">
        <f t="shared" si="2"/>
        <v>170000</v>
      </c>
      <c r="M133" s="160"/>
      <c r="N133" s="154"/>
      <c r="O133" s="42"/>
      <c r="P133" s="42"/>
    </row>
    <row r="134" spans="1:16" ht="15.75" x14ac:dyDescent="0.25">
      <c r="A134">
        <v>120</v>
      </c>
      <c r="B134" s="129">
        <v>23</v>
      </c>
      <c r="C134" s="155" t="s">
        <v>317</v>
      </c>
      <c r="D134" s="155" t="s">
        <v>318</v>
      </c>
      <c r="E134" s="156" t="s">
        <v>319</v>
      </c>
      <c r="F134" s="104" t="s">
        <v>316</v>
      </c>
      <c r="G134" s="157">
        <v>1010668353</v>
      </c>
      <c r="H134" s="157"/>
      <c r="I134" s="47">
        <v>275000</v>
      </c>
      <c r="J134" s="37">
        <f>'term one 2026'!L135</f>
        <v>0</v>
      </c>
      <c r="K134" s="158">
        <f>100000+75000+50000</f>
        <v>225000</v>
      </c>
      <c r="L134" s="39">
        <f t="shared" si="2"/>
        <v>50000</v>
      </c>
      <c r="M134" s="160"/>
      <c r="N134" s="154"/>
      <c r="O134" s="42"/>
      <c r="P134" s="42"/>
    </row>
    <row r="135" spans="1:16" ht="15.75" x14ac:dyDescent="0.25">
      <c r="A135">
        <v>121</v>
      </c>
      <c r="B135" s="129">
        <v>24</v>
      </c>
      <c r="C135" s="155" t="s">
        <v>320</v>
      </c>
      <c r="D135" s="155" t="s">
        <v>321</v>
      </c>
      <c r="E135" s="156"/>
      <c r="F135" s="104" t="s">
        <v>316</v>
      </c>
      <c r="G135" s="157"/>
      <c r="H135" s="157"/>
      <c r="I135" s="47">
        <v>310000</v>
      </c>
      <c r="J135" s="37">
        <f>'term one 2026'!L136</f>
        <v>100000</v>
      </c>
      <c r="K135" s="158">
        <f>300000</f>
        <v>300000</v>
      </c>
      <c r="L135" s="39">
        <f t="shared" si="2"/>
        <v>110000</v>
      </c>
      <c r="M135" s="160"/>
      <c r="N135" s="154"/>
      <c r="O135" s="42"/>
      <c r="P135" s="42"/>
    </row>
    <row r="136" spans="1:16" ht="15.75" x14ac:dyDescent="0.25">
      <c r="A136">
        <v>122</v>
      </c>
      <c r="B136" s="129">
        <v>25</v>
      </c>
      <c r="C136" s="260" t="s">
        <v>322</v>
      </c>
      <c r="D136" s="195"/>
      <c r="E136" s="196"/>
      <c r="F136" s="132"/>
      <c r="G136" s="197"/>
      <c r="H136" s="197"/>
      <c r="I136" s="63"/>
      <c r="J136" s="37">
        <f>'term one 2026'!L137</f>
        <v>0</v>
      </c>
      <c r="K136" s="198"/>
      <c r="L136" s="64">
        <f t="shared" si="2"/>
        <v>0</v>
      </c>
      <c r="M136" s="199"/>
      <c r="N136" s="199"/>
      <c r="O136" s="67"/>
      <c r="P136" s="67"/>
    </row>
    <row r="137" spans="1:16" ht="15.75" x14ac:dyDescent="0.25">
      <c r="B137" s="129"/>
      <c r="C137" s="155"/>
      <c r="D137" s="155"/>
      <c r="E137" s="156"/>
      <c r="F137" s="104"/>
      <c r="G137" s="157"/>
      <c r="H137" s="157"/>
      <c r="I137" s="47"/>
      <c r="J137" s="37">
        <f>'term one 2026'!L138</f>
        <v>0</v>
      </c>
      <c r="K137" s="158"/>
      <c r="L137" s="39"/>
      <c r="M137" s="160"/>
      <c r="N137" s="154"/>
      <c r="O137" s="42"/>
      <c r="P137" s="42"/>
    </row>
    <row r="138" spans="1:16" ht="18.75" x14ac:dyDescent="0.3">
      <c r="B138" s="129"/>
      <c r="C138" s="155"/>
      <c r="D138" s="155"/>
      <c r="E138" s="156"/>
      <c r="F138" s="200" t="s">
        <v>323</v>
      </c>
      <c r="G138" s="157"/>
      <c r="H138" s="157"/>
      <c r="I138" s="47"/>
      <c r="J138" s="37">
        <f>'term one 2026'!L139</f>
        <v>0</v>
      </c>
      <c r="K138" s="158"/>
      <c r="L138" s="39">
        <f t="shared" si="2"/>
        <v>0</v>
      </c>
      <c r="M138" s="160"/>
      <c r="N138" s="154"/>
      <c r="O138" s="42"/>
      <c r="P138" s="42"/>
    </row>
    <row r="139" spans="1:16" ht="15.75" x14ac:dyDescent="0.25">
      <c r="B139" s="129"/>
      <c r="C139" s="155"/>
      <c r="D139" s="155"/>
      <c r="E139" s="156"/>
      <c r="F139" s="131"/>
      <c r="G139" s="157"/>
      <c r="H139" s="157"/>
      <c r="I139" s="47"/>
      <c r="J139" s="37">
        <f>'term one 2026'!L140</f>
        <v>0</v>
      </c>
      <c r="K139" s="158"/>
      <c r="L139" s="39">
        <f t="shared" si="2"/>
        <v>0</v>
      </c>
      <c r="M139" s="160"/>
      <c r="N139" s="154"/>
      <c r="O139" s="42"/>
      <c r="P139" s="42"/>
    </row>
    <row r="140" spans="1:16" ht="15.75" x14ac:dyDescent="0.25">
      <c r="A140">
        <v>123</v>
      </c>
      <c r="B140" s="129">
        <v>1</v>
      </c>
      <c r="C140" s="104" t="s">
        <v>324</v>
      </c>
      <c r="D140" s="104" t="s">
        <v>325</v>
      </c>
      <c r="E140" s="105" t="s">
        <v>326</v>
      </c>
      <c r="F140" s="104" t="s">
        <v>327</v>
      </c>
      <c r="G140" s="106">
        <v>1004824716</v>
      </c>
      <c r="H140" s="106">
        <v>706948165</v>
      </c>
      <c r="I140" s="47">
        <f>350000+60000+20000+20000</f>
        <v>450000</v>
      </c>
      <c r="J140" s="37">
        <f>'term one 2026'!L141</f>
        <v>0</v>
      </c>
      <c r="K140" s="166">
        <f>100000+100000+100000+150000</f>
        <v>450000</v>
      </c>
      <c r="L140" s="39">
        <f t="shared" si="2"/>
        <v>0</v>
      </c>
      <c r="M140" s="167"/>
      <c r="N140" s="42" t="s">
        <v>755</v>
      </c>
      <c r="O140" s="42"/>
      <c r="P140" s="42"/>
    </row>
    <row r="141" spans="1:16" ht="15.75" x14ac:dyDescent="0.25">
      <c r="A141">
        <v>124</v>
      </c>
      <c r="B141" s="129">
        <v>2</v>
      </c>
      <c r="C141" s="163" t="s">
        <v>328</v>
      </c>
      <c r="D141" s="163"/>
      <c r="E141" s="164" t="s">
        <v>315</v>
      </c>
      <c r="F141" s="104" t="s">
        <v>327</v>
      </c>
      <c r="G141" s="165">
        <v>1004900361</v>
      </c>
      <c r="H141" s="165">
        <v>750002200</v>
      </c>
      <c r="I141" s="47">
        <f>335000+20000</f>
        <v>355000</v>
      </c>
      <c r="J141" s="37">
        <f>'term one 2026'!L142</f>
        <v>0</v>
      </c>
      <c r="K141" s="166">
        <f>150000+50000+50000+55000+50000</f>
        <v>355000</v>
      </c>
      <c r="L141" s="39">
        <f t="shared" si="2"/>
        <v>0</v>
      </c>
      <c r="M141" s="108" t="s">
        <v>329</v>
      </c>
      <c r="N141" s="42"/>
      <c r="O141" s="42"/>
      <c r="P141" s="42"/>
    </row>
    <row r="142" spans="1:16" ht="15.75" x14ac:dyDescent="0.25">
      <c r="A142">
        <v>125</v>
      </c>
      <c r="B142" s="129">
        <v>3</v>
      </c>
      <c r="C142" s="163" t="s">
        <v>330</v>
      </c>
      <c r="D142" s="163" t="s">
        <v>331</v>
      </c>
      <c r="E142" s="164" t="s">
        <v>104</v>
      </c>
      <c r="F142" s="104" t="s">
        <v>327</v>
      </c>
      <c r="G142" s="165">
        <v>1004637127</v>
      </c>
      <c r="H142" s="165">
        <v>753534870</v>
      </c>
      <c r="I142" s="47">
        <f>'[1]1st term 2025'!J138</f>
        <v>630000</v>
      </c>
      <c r="J142" s="37">
        <f>'term one 2026'!L143</f>
        <v>0</v>
      </c>
      <c r="K142" s="166">
        <f>200000+230000+200000</f>
        <v>630000</v>
      </c>
      <c r="L142" s="39">
        <f t="shared" si="2"/>
        <v>0</v>
      </c>
      <c r="M142" s="78"/>
      <c r="N142" s="42"/>
      <c r="O142" s="42"/>
      <c r="P142" s="42"/>
    </row>
    <row r="143" spans="1:16" ht="15.75" x14ac:dyDescent="0.25">
      <c r="A143">
        <v>126</v>
      </c>
      <c r="B143" s="129">
        <v>4</v>
      </c>
      <c r="C143" s="163" t="s">
        <v>332</v>
      </c>
      <c r="D143" s="163" t="s">
        <v>333</v>
      </c>
      <c r="E143" s="164" t="s">
        <v>334</v>
      </c>
      <c r="F143" s="104" t="s">
        <v>327</v>
      </c>
      <c r="G143" s="165">
        <v>1003257666</v>
      </c>
      <c r="H143" s="165">
        <v>774564868</v>
      </c>
      <c r="I143" s="47">
        <f>335000+60000+20000</f>
        <v>415000</v>
      </c>
      <c r="J143" s="37">
        <f>'term one 2026'!L144</f>
        <v>0</v>
      </c>
      <c r="K143" s="166">
        <f>415000</f>
        <v>415000</v>
      </c>
      <c r="L143" s="39">
        <f t="shared" si="2"/>
        <v>0</v>
      </c>
      <c r="M143" s="108"/>
      <c r="N143" s="99" t="e">
        <f>#REF!+L141+#REF!+#REF!+#REF!+#REF!+#REF!</f>
        <v>#REF!</v>
      </c>
      <c r="O143" s="42"/>
      <c r="P143" s="42"/>
    </row>
    <row r="144" spans="1:16" ht="15.75" x14ac:dyDescent="0.25">
      <c r="A144">
        <v>127</v>
      </c>
      <c r="B144" s="129">
        <v>5</v>
      </c>
      <c r="C144" s="104" t="s">
        <v>335</v>
      </c>
      <c r="D144" s="104"/>
      <c r="E144" s="105" t="s">
        <v>34</v>
      </c>
      <c r="F144" s="104" t="s">
        <v>327</v>
      </c>
      <c r="G144" s="106">
        <v>1004676770</v>
      </c>
      <c r="H144" s="106">
        <v>742472927</v>
      </c>
      <c r="I144" s="47">
        <v>335000</v>
      </c>
      <c r="J144" s="37">
        <f>'term one 2026'!L145</f>
        <v>0</v>
      </c>
      <c r="K144" s="166">
        <f>150000+185000</f>
        <v>335000</v>
      </c>
      <c r="L144" s="39">
        <f t="shared" si="2"/>
        <v>0</v>
      </c>
      <c r="M144" s="167"/>
      <c r="N144" s="42"/>
      <c r="O144" s="42"/>
      <c r="P144" s="42"/>
    </row>
    <row r="145" spans="1:16" ht="15.75" x14ac:dyDescent="0.25">
      <c r="A145">
        <v>128</v>
      </c>
      <c r="B145" s="129">
        <v>6</v>
      </c>
      <c r="C145" s="104" t="s">
        <v>336</v>
      </c>
      <c r="D145" s="104"/>
      <c r="E145" s="105" t="s">
        <v>337</v>
      </c>
      <c r="F145" s="104" t="s">
        <v>327</v>
      </c>
      <c r="G145" s="106">
        <v>1004722926</v>
      </c>
      <c r="H145" s="106">
        <v>706575416</v>
      </c>
      <c r="I145" s="47">
        <v>335000</v>
      </c>
      <c r="J145" s="37">
        <f>'term one 2026'!L146</f>
        <v>0</v>
      </c>
      <c r="K145" s="166">
        <f>200000+135000</f>
        <v>335000</v>
      </c>
      <c r="L145" s="39">
        <f t="shared" si="2"/>
        <v>0</v>
      </c>
      <c r="M145" s="167"/>
      <c r="N145" s="42"/>
      <c r="O145" s="42"/>
      <c r="P145" s="42"/>
    </row>
    <row r="146" spans="1:16" ht="15.75" x14ac:dyDescent="0.25">
      <c r="A146">
        <v>129</v>
      </c>
      <c r="B146" s="129">
        <v>7</v>
      </c>
      <c r="C146" s="163" t="s">
        <v>126</v>
      </c>
      <c r="D146" s="163" t="s">
        <v>338</v>
      </c>
      <c r="E146" s="164" t="s">
        <v>339</v>
      </c>
      <c r="F146" s="104" t="s">
        <v>327</v>
      </c>
      <c r="G146" s="165">
        <v>1005503844</v>
      </c>
      <c r="H146" s="165">
        <v>753640782</v>
      </c>
      <c r="I146" s="47">
        <v>335000</v>
      </c>
      <c r="J146" s="37">
        <f>'term one 2026'!L147</f>
        <v>0</v>
      </c>
      <c r="K146" s="166">
        <f>100000+200000+35000</f>
        <v>335000</v>
      </c>
      <c r="L146" s="39">
        <f t="shared" si="2"/>
        <v>0</v>
      </c>
      <c r="M146" s="167"/>
      <c r="N146" s="42"/>
      <c r="O146" s="42"/>
      <c r="P146" s="42"/>
    </row>
    <row r="147" spans="1:16" ht="15.75" x14ac:dyDescent="0.25">
      <c r="A147">
        <v>130</v>
      </c>
      <c r="B147" s="129">
        <v>8</v>
      </c>
      <c r="C147" s="129" t="s">
        <v>340</v>
      </c>
      <c r="D147" s="129" t="s">
        <v>341</v>
      </c>
      <c r="E147" s="130" t="s">
        <v>284</v>
      </c>
      <c r="F147" s="104" t="s">
        <v>327</v>
      </c>
      <c r="G147" s="131">
        <v>10068317216</v>
      </c>
      <c r="H147" s="131"/>
      <c r="I147" s="47">
        <v>335000</v>
      </c>
      <c r="J147" s="37">
        <f>'term one 2026'!L148</f>
        <v>-335000</v>
      </c>
      <c r="K147" s="107"/>
      <c r="L147" s="39">
        <f t="shared" si="2"/>
        <v>0</v>
      </c>
      <c r="M147" s="78"/>
      <c r="N147" s="42"/>
      <c r="O147" s="42"/>
      <c r="P147" s="42"/>
    </row>
    <row r="148" spans="1:16" ht="15.75" x14ac:dyDescent="0.25">
      <c r="A148">
        <v>131</v>
      </c>
      <c r="B148" s="129">
        <v>9</v>
      </c>
      <c r="C148" s="129" t="s">
        <v>36</v>
      </c>
      <c r="D148" s="201" t="s">
        <v>180</v>
      </c>
      <c r="E148" s="130" t="s">
        <v>342</v>
      </c>
      <c r="F148" s="104" t="s">
        <v>327</v>
      </c>
      <c r="G148" s="131">
        <v>1008730723</v>
      </c>
      <c r="H148" s="131"/>
      <c r="I148" s="47">
        <v>300000</v>
      </c>
      <c r="J148" s="37">
        <f>'term one 2026'!L149</f>
        <v>0</v>
      </c>
      <c r="K148" s="107">
        <f>200000+100000</f>
        <v>300000</v>
      </c>
      <c r="L148" s="39">
        <f t="shared" si="2"/>
        <v>0</v>
      </c>
      <c r="M148" s="78" t="s">
        <v>43</v>
      </c>
      <c r="N148" s="71"/>
      <c r="O148" s="42"/>
      <c r="P148" s="42"/>
    </row>
    <row r="149" spans="1:16" ht="15.75" x14ac:dyDescent="0.25">
      <c r="A149">
        <v>132</v>
      </c>
      <c r="B149" s="129">
        <v>10</v>
      </c>
      <c r="C149" s="129" t="s">
        <v>343</v>
      </c>
      <c r="D149" s="201"/>
      <c r="E149" s="130" t="s">
        <v>344</v>
      </c>
      <c r="F149" s="104" t="s">
        <v>327</v>
      </c>
      <c r="G149" s="131">
        <v>1003308684</v>
      </c>
      <c r="H149" s="131"/>
      <c r="I149" s="47">
        <v>335000</v>
      </c>
      <c r="J149" s="37">
        <f>'term one 2026'!L150</f>
        <v>0</v>
      </c>
      <c r="K149" s="107">
        <f>85000+100000+110000+40000</f>
        <v>335000</v>
      </c>
      <c r="L149" s="39">
        <f t="shared" si="2"/>
        <v>0</v>
      </c>
      <c r="M149" s="78"/>
      <c r="N149" s="71"/>
      <c r="O149" s="42"/>
      <c r="P149" s="42"/>
    </row>
    <row r="150" spans="1:16" ht="15.75" x14ac:dyDescent="0.25">
      <c r="A150">
        <v>133</v>
      </c>
      <c r="B150" s="129">
        <v>11</v>
      </c>
      <c r="C150" s="190" t="s">
        <v>349</v>
      </c>
      <c r="D150" s="194" t="s">
        <v>350</v>
      </c>
      <c r="E150" s="191"/>
      <c r="F150" s="104" t="s">
        <v>327</v>
      </c>
      <c r="G150" s="192"/>
      <c r="H150" s="192"/>
      <c r="I150" s="47">
        <f>80000</f>
        <v>80000</v>
      </c>
      <c r="J150" s="37">
        <f>'term one 2026'!L153</f>
        <v>0</v>
      </c>
      <c r="K150" s="193">
        <f>80000</f>
        <v>80000</v>
      </c>
      <c r="L150" s="39">
        <f t="shared" si="2"/>
        <v>0</v>
      </c>
      <c r="M150" s="98"/>
      <c r="N150" s="71"/>
      <c r="O150" s="42"/>
      <c r="P150" s="42"/>
    </row>
    <row r="151" spans="1:16" ht="15.75" x14ac:dyDescent="0.25">
      <c r="A151">
        <v>134</v>
      </c>
      <c r="B151" s="129">
        <v>12</v>
      </c>
      <c r="C151" s="129" t="s">
        <v>351</v>
      </c>
      <c r="D151" s="201" t="s">
        <v>158</v>
      </c>
      <c r="E151" s="130" t="s">
        <v>70</v>
      </c>
      <c r="F151" s="104" t="s">
        <v>327</v>
      </c>
      <c r="G151" s="131"/>
      <c r="H151" s="131"/>
      <c r="I151" s="47">
        <f>335000</f>
        <v>335000</v>
      </c>
      <c r="J151" s="37">
        <f>'term one 2026'!L154</f>
        <v>0</v>
      </c>
      <c r="K151" s="107">
        <f>150000+160000</f>
        <v>310000</v>
      </c>
      <c r="L151" s="39">
        <f t="shared" si="2"/>
        <v>25000</v>
      </c>
      <c r="M151" s="78"/>
      <c r="N151" s="71" t="s">
        <v>352</v>
      </c>
      <c r="O151" s="42"/>
      <c r="P151" s="42"/>
    </row>
    <row r="152" spans="1:16" ht="15.75" x14ac:dyDescent="0.25">
      <c r="A152">
        <v>135</v>
      </c>
      <c r="B152" s="129">
        <v>13</v>
      </c>
      <c r="C152" s="129" t="s">
        <v>353</v>
      </c>
      <c r="D152" s="201" t="s">
        <v>224</v>
      </c>
      <c r="E152" s="130" t="s">
        <v>354</v>
      </c>
      <c r="F152" s="104" t="s">
        <v>327</v>
      </c>
      <c r="G152" s="131"/>
      <c r="H152" s="131"/>
      <c r="I152" s="47">
        <v>290000</v>
      </c>
      <c r="J152" s="37">
        <f>'term one 2026'!L155</f>
        <v>0</v>
      </c>
      <c r="K152" s="107">
        <f>200000+90000</f>
        <v>290000</v>
      </c>
      <c r="L152" s="39">
        <f t="shared" si="2"/>
        <v>0</v>
      </c>
      <c r="M152" s="78"/>
      <c r="N152" s="71"/>
      <c r="O152" s="42"/>
      <c r="P152" s="42"/>
    </row>
    <row r="153" spans="1:16" ht="15.75" x14ac:dyDescent="0.25">
      <c r="A153">
        <v>136</v>
      </c>
      <c r="B153" s="129">
        <v>14</v>
      </c>
      <c r="C153" s="129" t="s">
        <v>355</v>
      </c>
      <c r="D153" s="201" t="s">
        <v>356</v>
      </c>
      <c r="E153" s="130"/>
      <c r="F153" s="131" t="s">
        <v>357</v>
      </c>
      <c r="G153" s="131"/>
      <c r="H153" s="131"/>
      <c r="I153" s="47">
        <v>630000</v>
      </c>
      <c r="J153" s="37">
        <f>'term one 2026'!L156</f>
        <v>0</v>
      </c>
      <c r="K153" s="107">
        <f>400000+200000+30000</f>
        <v>630000</v>
      </c>
      <c r="L153" s="39">
        <f t="shared" si="2"/>
        <v>0</v>
      </c>
      <c r="M153" s="78"/>
      <c r="N153" s="71"/>
      <c r="O153" s="42"/>
      <c r="P153" s="42"/>
    </row>
    <row r="154" spans="1:16" ht="15.75" x14ac:dyDescent="0.25">
      <c r="A154">
        <v>137</v>
      </c>
      <c r="B154" s="129">
        <v>15</v>
      </c>
      <c r="C154" s="129" t="s">
        <v>729</v>
      </c>
      <c r="D154" s="201" t="s">
        <v>730</v>
      </c>
      <c r="E154" s="130"/>
      <c r="F154" s="131" t="s">
        <v>357</v>
      </c>
      <c r="G154" s="131"/>
      <c r="H154" s="131"/>
      <c r="I154" s="47">
        <v>335000</v>
      </c>
      <c r="J154" s="37">
        <v>0</v>
      </c>
      <c r="K154" s="107">
        <f>200000+135000</f>
        <v>335000</v>
      </c>
      <c r="L154" s="39">
        <f t="shared" si="2"/>
        <v>0</v>
      </c>
      <c r="M154" s="78"/>
      <c r="N154" s="71"/>
      <c r="O154" s="42"/>
      <c r="P154" s="42"/>
    </row>
    <row r="155" spans="1:16" ht="15.75" x14ac:dyDescent="0.25">
      <c r="A155">
        <v>138</v>
      </c>
      <c r="B155" s="129">
        <v>16</v>
      </c>
      <c r="C155" s="129" t="s">
        <v>731</v>
      </c>
      <c r="D155" s="201" t="s">
        <v>732</v>
      </c>
      <c r="E155" s="130"/>
      <c r="F155" s="131" t="s">
        <v>357</v>
      </c>
      <c r="G155" s="131"/>
      <c r="H155" s="131"/>
      <c r="I155" s="47">
        <f>275000+50000</f>
        <v>325000</v>
      </c>
      <c r="J155" s="37"/>
      <c r="K155" s="107">
        <f>100000+150000+75000</f>
        <v>325000</v>
      </c>
      <c r="L155" s="39">
        <f t="shared" si="2"/>
        <v>0</v>
      </c>
      <c r="M155" s="78"/>
      <c r="N155" s="71"/>
      <c r="O155" s="42"/>
      <c r="P155" s="42"/>
    </row>
    <row r="156" spans="1:16" ht="15.75" x14ac:dyDescent="0.25">
      <c r="A156">
        <v>139</v>
      </c>
      <c r="B156" s="129">
        <v>17</v>
      </c>
      <c r="C156" s="129" t="s">
        <v>733</v>
      </c>
      <c r="D156" s="201" t="s">
        <v>333</v>
      </c>
      <c r="E156" s="130"/>
      <c r="F156" s="131" t="s">
        <v>357</v>
      </c>
      <c r="G156" s="131"/>
      <c r="H156" s="131"/>
      <c r="I156" s="47">
        <f>275000+50000</f>
        <v>325000</v>
      </c>
      <c r="J156" s="37"/>
      <c r="K156" s="107">
        <f>100000+100000+125000</f>
        <v>325000</v>
      </c>
      <c r="L156" s="39">
        <f t="shared" si="2"/>
        <v>0</v>
      </c>
      <c r="M156" s="78"/>
      <c r="N156" s="71"/>
      <c r="O156" s="42"/>
      <c r="P156" s="42"/>
    </row>
    <row r="157" spans="1:16" ht="15.75" x14ac:dyDescent="0.25">
      <c r="A157">
        <v>140</v>
      </c>
      <c r="B157" s="129">
        <v>18</v>
      </c>
      <c r="C157" s="132" t="s">
        <v>363</v>
      </c>
      <c r="D157" s="202" t="s">
        <v>364</v>
      </c>
      <c r="E157" s="133"/>
      <c r="F157" s="134" t="s">
        <v>357</v>
      </c>
      <c r="G157" s="134"/>
      <c r="H157" s="134"/>
      <c r="I157" s="63"/>
      <c r="J157" s="37">
        <f>'term one 2026'!L160</f>
        <v>0</v>
      </c>
      <c r="K157" s="135"/>
      <c r="L157" s="64"/>
      <c r="M157" s="59"/>
      <c r="N157" s="203"/>
      <c r="O157" s="67"/>
      <c r="P157" s="67"/>
    </row>
    <row r="158" spans="1:16" ht="37.5" x14ac:dyDescent="0.3">
      <c r="B158" s="129"/>
      <c r="C158" s="129"/>
      <c r="D158" s="204" t="s">
        <v>365</v>
      </c>
      <c r="E158" s="130"/>
      <c r="F158" s="131"/>
      <c r="G158" s="131"/>
      <c r="H158" s="131"/>
      <c r="I158" s="47">
        <f>'[1]1st term 2025'!J162</f>
        <v>0</v>
      </c>
      <c r="J158" s="37">
        <f>'term one 2026'!L161</f>
        <v>0</v>
      </c>
      <c r="K158" s="107"/>
      <c r="L158" s="39">
        <f t="shared" si="2"/>
        <v>0</v>
      </c>
      <c r="M158" s="78"/>
      <c r="N158" s="42"/>
      <c r="O158" s="42"/>
      <c r="P158" s="42"/>
    </row>
    <row r="159" spans="1:16" ht="15.75" x14ac:dyDescent="0.25">
      <c r="A159">
        <v>141</v>
      </c>
      <c r="B159" s="129">
        <v>1</v>
      </c>
      <c r="C159" s="163" t="s">
        <v>366</v>
      </c>
      <c r="D159" s="163"/>
      <c r="E159" s="164" t="s">
        <v>111</v>
      </c>
      <c r="F159" s="163" t="s">
        <v>367</v>
      </c>
      <c r="G159" s="165">
        <v>1001865564</v>
      </c>
      <c r="H159" s="165">
        <v>776727575</v>
      </c>
      <c r="I159" s="47">
        <f>'[1]1st term 2025'!J163</f>
        <v>330000</v>
      </c>
      <c r="J159" s="37">
        <f>'term one 2026'!L162</f>
        <v>0</v>
      </c>
      <c r="K159" s="166">
        <f>10000+90000+230000</f>
        <v>330000</v>
      </c>
      <c r="L159" s="39">
        <f t="shared" si="2"/>
        <v>0</v>
      </c>
      <c r="M159" s="167" t="s">
        <v>227</v>
      </c>
      <c r="N159" s="188"/>
      <c r="O159" s="42"/>
      <c r="P159" s="42"/>
    </row>
    <row r="160" spans="1:16" ht="15.75" x14ac:dyDescent="0.25">
      <c r="A160">
        <v>142</v>
      </c>
      <c r="B160" s="129">
        <v>2</v>
      </c>
      <c r="C160" s="104" t="s">
        <v>368</v>
      </c>
      <c r="D160" s="104" t="s">
        <v>369</v>
      </c>
      <c r="E160" s="105" t="s">
        <v>370</v>
      </c>
      <c r="F160" s="163" t="s">
        <v>367</v>
      </c>
      <c r="G160" s="106">
        <v>1002419494</v>
      </c>
      <c r="H160" s="106">
        <v>752246215</v>
      </c>
      <c r="I160" s="47">
        <f>'[1]1st term 2025'!J165</f>
        <v>335000</v>
      </c>
      <c r="J160" s="37">
        <f>'term one 2026'!L163</f>
        <v>0</v>
      </c>
      <c r="K160" s="166">
        <f>100000+235000</f>
        <v>335000</v>
      </c>
      <c r="L160" s="39">
        <f t="shared" si="2"/>
        <v>0</v>
      </c>
      <c r="M160" s="108"/>
      <c r="N160" s="42"/>
      <c r="O160" s="42"/>
      <c r="P160" s="42"/>
    </row>
    <row r="161" spans="1:16" ht="15.75" x14ac:dyDescent="0.25">
      <c r="A161">
        <v>143</v>
      </c>
      <c r="B161" s="129">
        <v>3</v>
      </c>
      <c r="C161" s="190" t="s">
        <v>371</v>
      </c>
      <c r="D161" s="190" t="s">
        <v>372</v>
      </c>
      <c r="E161" s="191" t="s">
        <v>93</v>
      </c>
      <c r="F161" s="163" t="s">
        <v>367</v>
      </c>
      <c r="G161" s="192">
        <v>1003547898</v>
      </c>
      <c r="H161" s="192">
        <v>757211677</v>
      </c>
      <c r="I161" s="47">
        <f>'[1]1st term 2025'!J166</f>
        <v>80000</v>
      </c>
      <c r="J161" s="37">
        <f>'term one 2026'!L164</f>
        <v>0</v>
      </c>
      <c r="K161" s="193">
        <f>80000</f>
        <v>80000</v>
      </c>
      <c r="L161" s="39">
        <f t="shared" si="2"/>
        <v>0</v>
      </c>
      <c r="M161" s="98"/>
      <c r="N161" s="42"/>
      <c r="O161" s="42"/>
      <c r="P161" s="42"/>
    </row>
    <row r="162" spans="1:16" ht="15.75" x14ac:dyDescent="0.25">
      <c r="A162">
        <v>144</v>
      </c>
      <c r="B162" s="129">
        <v>4</v>
      </c>
      <c r="C162" s="104" t="s">
        <v>373</v>
      </c>
      <c r="D162" s="104"/>
      <c r="E162" s="105" t="s">
        <v>374</v>
      </c>
      <c r="F162" s="163" t="s">
        <v>367</v>
      </c>
      <c r="G162" s="106">
        <v>1003321623</v>
      </c>
      <c r="H162" s="106">
        <v>789426721</v>
      </c>
      <c r="I162" s="47">
        <f>'[1]1st term 2025'!J168+20000</f>
        <v>355000</v>
      </c>
      <c r="J162" s="37">
        <f>'term one 2026'!L165</f>
        <v>0</v>
      </c>
      <c r="K162" s="166">
        <f>270000+65000+20000</f>
        <v>355000</v>
      </c>
      <c r="L162" s="39">
        <f t="shared" si="2"/>
        <v>0</v>
      </c>
      <c r="M162" s="167"/>
      <c r="N162" s="42"/>
      <c r="O162" s="42"/>
      <c r="P162" s="42"/>
    </row>
    <row r="163" spans="1:16" ht="15.75" x14ac:dyDescent="0.25">
      <c r="A163">
        <v>145</v>
      </c>
      <c r="B163" s="129">
        <v>5</v>
      </c>
      <c r="C163" s="132" t="s">
        <v>24</v>
      </c>
      <c r="D163" s="132" t="s">
        <v>375</v>
      </c>
      <c r="E163" s="133" t="s">
        <v>376</v>
      </c>
      <c r="F163" s="163" t="s">
        <v>367</v>
      </c>
      <c r="G163" s="134">
        <v>1002433736</v>
      </c>
      <c r="H163" s="134"/>
      <c r="I163" s="47">
        <v>0</v>
      </c>
      <c r="J163" s="37">
        <f>'term one 2026'!L166</f>
        <v>0</v>
      </c>
      <c r="K163" s="135"/>
      <c r="L163" s="39">
        <f t="shared" si="2"/>
        <v>0</v>
      </c>
      <c r="M163" s="59"/>
      <c r="N163" s="42"/>
      <c r="O163" s="42"/>
      <c r="P163" s="42"/>
    </row>
    <row r="164" spans="1:16" ht="15.75" x14ac:dyDescent="0.25">
      <c r="A164">
        <v>146</v>
      </c>
      <c r="B164" s="129">
        <v>6</v>
      </c>
      <c r="C164" s="137" t="s">
        <v>377</v>
      </c>
      <c r="D164" s="137"/>
      <c r="E164" s="138" t="s">
        <v>378</v>
      </c>
      <c r="F164" s="163" t="s">
        <v>367</v>
      </c>
      <c r="G164" s="139">
        <v>1003547899</v>
      </c>
      <c r="H164" s="139"/>
      <c r="I164" s="47">
        <v>0</v>
      </c>
      <c r="J164" s="37">
        <f>'term one 2026'!L167</f>
        <v>0</v>
      </c>
      <c r="K164" s="140"/>
      <c r="L164" s="39">
        <f t="shared" si="2"/>
        <v>0</v>
      </c>
      <c r="M164" s="141"/>
      <c r="N164" s="42"/>
      <c r="O164" s="42"/>
      <c r="P164" s="42"/>
    </row>
    <row r="165" spans="1:16" ht="15.75" x14ac:dyDescent="0.25">
      <c r="A165">
        <v>147</v>
      </c>
      <c r="B165" s="129">
        <v>7</v>
      </c>
      <c r="C165" s="183" t="s">
        <v>379</v>
      </c>
      <c r="D165" s="183" t="s">
        <v>380</v>
      </c>
      <c r="E165" s="184" t="s">
        <v>381</v>
      </c>
      <c r="F165" s="163" t="s">
        <v>367</v>
      </c>
      <c r="G165" s="185">
        <v>1003547889</v>
      </c>
      <c r="H165" s="185">
        <v>779523726</v>
      </c>
      <c r="I165" s="47">
        <f>67000</f>
        <v>67000</v>
      </c>
      <c r="J165" s="37">
        <f>'term one 2026'!L168</f>
        <v>0</v>
      </c>
      <c r="K165" s="186">
        <f>67000</f>
        <v>67000</v>
      </c>
      <c r="L165" s="39">
        <f t="shared" si="2"/>
        <v>0</v>
      </c>
      <c r="M165" s="187" t="s">
        <v>295</v>
      </c>
      <c r="N165" s="42"/>
      <c r="O165" s="42"/>
      <c r="P165" s="42"/>
    </row>
    <row r="166" spans="1:16" ht="15.75" x14ac:dyDescent="0.25">
      <c r="A166">
        <v>148</v>
      </c>
      <c r="B166" s="129">
        <v>8</v>
      </c>
      <c r="C166" s="183" t="s">
        <v>382</v>
      </c>
      <c r="D166" s="183"/>
      <c r="E166" s="184" t="s">
        <v>383</v>
      </c>
      <c r="F166" s="163" t="s">
        <v>367</v>
      </c>
      <c r="G166" s="185">
        <v>1003547903</v>
      </c>
      <c r="H166" s="185">
        <v>759611414</v>
      </c>
      <c r="I166" s="47">
        <v>67000</v>
      </c>
      <c r="J166" s="37">
        <v>0</v>
      </c>
      <c r="K166" s="186"/>
      <c r="L166" s="39">
        <f t="shared" si="2"/>
        <v>67000</v>
      </c>
      <c r="M166" s="187" t="s">
        <v>295</v>
      </c>
      <c r="N166" s="42"/>
      <c r="O166" s="42"/>
      <c r="P166" s="42"/>
    </row>
    <row r="167" spans="1:16" ht="15.75" x14ac:dyDescent="0.25">
      <c r="A167">
        <v>149</v>
      </c>
      <c r="B167" s="129">
        <v>9</v>
      </c>
      <c r="C167" s="104" t="s">
        <v>384</v>
      </c>
      <c r="D167" s="104"/>
      <c r="E167" s="105" t="s">
        <v>297</v>
      </c>
      <c r="F167" s="163" t="s">
        <v>367</v>
      </c>
      <c r="G167" s="106"/>
      <c r="H167" s="106">
        <v>779518339</v>
      </c>
      <c r="I167" s="47">
        <f>300000</f>
        <v>300000</v>
      </c>
      <c r="J167" s="37">
        <f>'term one 2026'!L170</f>
        <v>0</v>
      </c>
      <c r="K167" s="166">
        <f>100000+50000+150000</f>
        <v>300000</v>
      </c>
      <c r="L167" s="39">
        <f t="shared" si="2"/>
        <v>0</v>
      </c>
      <c r="M167" s="167"/>
      <c r="N167" s="42"/>
      <c r="O167" s="42"/>
      <c r="P167" s="42"/>
    </row>
    <row r="168" spans="1:16" ht="15.75" x14ac:dyDescent="0.25">
      <c r="A168">
        <v>150</v>
      </c>
      <c r="B168" s="129">
        <v>10</v>
      </c>
      <c r="C168" s="183" t="s">
        <v>385</v>
      </c>
      <c r="D168" s="183"/>
      <c r="E168" s="184" t="s">
        <v>386</v>
      </c>
      <c r="F168" s="163" t="s">
        <v>367</v>
      </c>
      <c r="G168" s="185">
        <v>1004024843</v>
      </c>
      <c r="H168" s="185">
        <v>700898394</v>
      </c>
      <c r="I168" s="47">
        <f>41000+67000</f>
        <v>108000</v>
      </c>
      <c r="J168" s="37">
        <f>'term one 2026'!L171</f>
        <v>58000</v>
      </c>
      <c r="K168" s="186"/>
      <c r="L168" s="39">
        <f t="shared" si="2"/>
        <v>166000</v>
      </c>
      <c r="M168" s="78" t="s">
        <v>295</v>
      </c>
      <c r="N168" s="42"/>
      <c r="O168" s="42"/>
      <c r="P168" s="42"/>
    </row>
    <row r="169" spans="1:16" ht="15.75" x14ac:dyDescent="0.25">
      <c r="A169">
        <v>151</v>
      </c>
      <c r="B169" s="129">
        <v>11</v>
      </c>
      <c r="C169" s="163" t="s">
        <v>374</v>
      </c>
      <c r="D169" s="163" t="s">
        <v>387</v>
      </c>
      <c r="E169" s="164" t="s">
        <v>388</v>
      </c>
      <c r="F169" s="163" t="s">
        <v>367</v>
      </c>
      <c r="G169" s="165">
        <v>1004715192</v>
      </c>
      <c r="H169" s="165">
        <v>704855095</v>
      </c>
      <c r="I169" s="47">
        <f>'[1]1st term 2025'!J175</f>
        <v>630000</v>
      </c>
      <c r="J169" s="37">
        <f>'term one 2026'!L172</f>
        <v>0</v>
      </c>
      <c r="K169" s="166">
        <f>630000</f>
        <v>630000</v>
      </c>
      <c r="L169" s="39">
        <f t="shared" si="2"/>
        <v>0</v>
      </c>
      <c r="M169" s="108" t="s">
        <v>295</v>
      </c>
      <c r="N169" s="42"/>
      <c r="O169" s="42"/>
      <c r="P169" s="42"/>
    </row>
    <row r="170" spans="1:16" ht="15.75" x14ac:dyDescent="0.25">
      <c r="A170">
        <v>152</v>
      </c>
      <c r="B170" s="129">
        <v>12</v>
      </c>
      <c r="C170" s="183" t="s">
        <v>389</v>
      </c>
      <c r="D170" s="205"/>
      <c r="E170" s="184" t="s">
        <v>390</v>
      </c>
      <c r="F170" s="163" t="s">
        <v>367</v>
      </c>
      <c r="G170" s="185"/>
      <c r="H170" s="185"/>
      <c r="I170" s="47">
        <v>0</v>
      </c>
      <c r="J170" s="37">
        <f>'term one 2026'!L173</f>
        <v>0</v>
      </c>
      <c r="K170" s="186"/>
      <c r="L170" s="39">
        <f t="shared" si="2"/>
        <v>0</v>
      </c>
      <c r="M170" s="187" t="s">
        <v>295</v>
      </c>
      <c r="N170" s="42"/>
      <c r="O170" s="42"/>
      <c r="P170" s="42"/>
    </row>
    <row r="171" spans="1:16" ht="15.75" x14ac:dyDescent="0.25">
      <c r="A171">
        <v>153</v>
      </c>
      <c r="B171" s="129">
        <v>13</v>
      </c>
      <c r="C171" s="65" t="s">
        <v>315</v>
      </c>
      <c r="D171" s="65"/>
      <c r="E171" s="206" t="s">
        <v>391</v>
      </c>
      <c r="F171" s="163" t="s">
        <v>367</v>
      </c>
      <c r="G171" s="59"/>
      <c r="H171" s="59"/>
      <c r="I171" s="47">
        <v>0</v>
      </c>
      <c r="J171" s="37">
        <f>'term one 2026'!L174</f>
        <v>0</v>
      </c>
      <c r="K171" s="59"/>
      <c r="L171" s="39">
        <f t="shared" si="2"/>
        <v>0</v>
      </c>
      <c r="M171" s="67"/>
      <c r="N171" s="42"/>
      <c r="O171" s="42"/>
      <c r="P171" s="42"/>
    </row>
    <row r="172" spans="1:16" ht="15.75" x14ac:dyDescent="0.25">
      <c r="A172">
        <v>154</v>
      </c>
      <c r="B172" s="129">
        <v>14</v>
      </c>
      <c r="C172" s="132" t="s">
        <v>392</v>
      </c>
      <c r="D172" s="132"/>
      <c r="E172" s="133" t="s">
        <v>393</v>
      </c>
      <c r="F172" s="163" t="s">
        <v>367</v>
      </c>
      <c r="G172" s="134">
        <v>1007278329</v>
      </c>
      <c r="H172" s="134"/>
      <c r="I172" s="47">
        <v>0</v>
      </c>
      <c r="J172" s="37">
        <f>'term one 2026'!L175</f>
        <v>0</v>
      </c>
      <c r="K172" s="135"/>
      <c r="L172" s="39">
        <f t="shared" si="2"/>
        <v>0</v>
      </c>
      <c r="M172" s="59" t="s">
        <v>295</v>
      </c>
      <c r="N172" s="42"/>
      <c r="O172" s="42"/>
      <c r="P172" s="42"/>
    </row>
    <row r="173" spans="1:16" ht="15.75" x14ac:dyDescent="0.25">
      <c r="A173">
        <v>155</v>
      </c>
      <c r="B173" s="129">
        <v>15</v>
      </c>
      <c r="C173" s="132" t="s">
        <v>219</v>
      </c>
      <c r="D173" s="132" t="s">
        <v>394</v>
      </c>
      <c r="E173" s="133" t="s">
        <v>395</v>
      </c>
      <c r="F173" s="163" t="s">
        <v>367</v>
      </c>
      <c r="G173" s="134">
        <v>1007278816</v>
      </c>
      <c r="H173" s="134"/>
      <c r="I173" s="47">
        <v>0</v>
      </c>
      <c r="J173" s="37">
        <f>'term one 2026'!L176</f>
        <v>0</v>
      </c>
      <c r="K173" s="135"/>
      <c r="L173" s="39">
        <f t="shared" si="2"/>
        <v>0</v>
      </c>
      <c r="M173" s="59" t="s">
        <v>295</v>
      </c>
      <c r="N173" s="42"/>
      <c r="O173" s="42"/>
      <c r="P173" s="42"/>
    </row>
    <row r="174" spans="1:16" ht="15.75" x14ac:dyDescent="0.25">
      <c r="A174">
        <v>156</v>
      </c>
      <c r="B174" s="129">
        <v>16</v>
      </c>
      <c r="C174" s="132" t="s">
        <v>396</v>
      </c>
      <c r="D174" s="132" t="s">
        <v>397</v>
      </c>
      <c r="E174" s="133" t="s">
        <v>216</v>
      </c>
      <c r="F174" s="163" t="s">
        <v>367</v>
      </c>
      <c r="G174" s="134">
        <v>1007277212</v>
      </c>
      <c r="H174" s="134"/>
      <c r="I174" s="47">
        <v>0</v>
      </c>
      <c r="J174" s="37">
        <f>'term one 2026'!L177</f>
        <v>0</v>
      </c>
      <c r="K174" s="135"/>
      <c r="L174" s="39">
        <f t="shared" si="2"/>
        <v>0</v>
      </c>
      <c r="M174" s="59" t="s">
        <v>295</v>
      </c>
      <c r="N174" s="42"/>
      <c r="O174" s="42"/>
      <c r="P174" s="42"/>
    </row>
    <row r="175" spans="1:16" ht="15.75" x14ac:dyDescent="0.25">
      <c r="A175">
        <v>157</v>
      </c>
      <c r="B175" s="129">
        <v>17</v>
      </c>
      <c r="C175" s="183" t="s">
        <v>398</v>
      </c>
      <c r="D175" s="183" t="s">
        <v>399</v>
      </c>
      <c r="E175" s="184" t="s">
        <v>400</v>
      </c>
      <c r="F175" s="163" t="s">
        <v>367</v>
      </c>
      <c r="G175" s="185">
        <v>0</v>
      </c>
      <c r="H175" s="185"/>
      <c r="I175" s="47">
        <v>0</v>
      </c>
      <c r="J175" s="37">
        <f>'term one 2026'!L178</f>
        <v>0</v>
      </c>
      <c r="K175" s="186"/>
      <c r="L175" s="39">
        <f t="shared" si="2"/>
        <v>0</v>
      </c>
      <c r="M175" s="187" t="s">
        <v>295</v>
      </c>
      <c r="N175" s="42"/>
      <c r="O175" s="42"/>
      <c r="P175" s="42"/>
    </row>
    <row r="176" spans="1:16" ht="15.75" x14ac:dyDescent="0.25">
      <c r="A176">
        <v>158</v>
      </c>
      <c r="B176" s="129">
        <v>18</v>
      </c>
      <c r="C176" s="137" t="s">
        <v>401</v>
      </c>
      <c r="D176" s="137" t="s">
        <v>44</v>
      </c>
      <c r="E176" s="138" t="s">
        <v>402</v>
      </c>
      <c r="F176" s="163" t="s">
        <v>367</v>
      </c>
      <c r="G176" s="139">
        <v>1003547928</v>
      </c>
      <c r="H176" s="139"/>
      <c r="I176" s="47">
        <v>0</v>
      </c>
      <c r="J176" s="37">
        <f>'term one 2026'!L179</f>
        <v>0</v>
      </c>
      <c r="K176" s="140"/>
      <c r="L176" s="39">
        <f t="shared" si="2"/>
        <v>0</v>
      </c>
      <c r="M176" s="141"/>
      <c r="N176" s="42"/>
      <c r="O176" s="42"/>
      <c r="P176" s="42"/>
    </row>
    <row r="177" spans="1:16" ht="15.75" x14ac:dyDescent="0.25">
      <c r="A177">
        <v>159</v>
      </c>
      <c r="B177" s="129">
        <v>19</v>
      </c>
      <c r="C177" s="183" t="s">
        <v>403</v>
      </c>
      <c r="D177" s="183" t="s">
        <v>404</v>
      </c>
      <c r="E177" s="184" t="s">
        <v>157</v>
      </c>
      <c r="F177" s="163" t="s">
        <v>367</v>
      </c>
      <c r="G177" s="185">
        <v>1003547943</v>
      </c>
      <c r="H177" s="185"/>
      <c r="I177" s="47">
        <v>67000</v>
      </c>
      <c r="J177" s="37">
        <f>'term one 2026'!L180</f>
        <v>67000</v>
      </c>
      <c r="K177" s="207"/>
      <c r="L177" s="39">
        <f t="shared" si="2"/>
        <v>134000</v>
      </c>
      <c r="M177" s="187" t="s">
        <v>295</v>
      </c>
      <c r="N177" s="42"/>
      <c r="O177" s="42"/>
      <c r="P177" s="42"/>
    </row>
    <row r="178" spans="1:16" s="284" customFormat="1" ht="15.75" x14ac:dyDescent="0.25">
      <c r="A178">
        <v>160</v>
      </c>
      <c r="B178" s="129">
        <v>20</v>
      </c>
      <c r="C178" s="274" t="s">
        <v>405</v>
      </c>
      <c r="D178" s="275" t="s">
        <v>406</v>
      </c>
      <c r="E178" s="276" t="s">
        <v>139</v>
      </c>
      <c r="F178" s="274" t="s">
        <v>367</v>
      </c>
      <c r="G178" s="277">
        <v>1006963789</v>
      </c>
      <c r="H178" s="277"/>
      <c r="I178" s="278">
        <f>'[1]1st term 2025'!J185+60000+20000</f>
        <v>165000</v>
      </c>
      <c r="J178" s="279">
        <f>'term one 2026'!L181</f>
        <v>0</v>
      </c>
      <c r="K178" s="280">
        <f>105000+60000</f>
        <v>165000</v>
      </c>
      <c r="L178" s="281">
        <f t="shared" si="2"/>
        <v>0</v>
      </c>
      <c r="M178" s="282"/>
      <c r="N178" s="283"/>
      <c r="O178" s="283"/>
      <c r="P178" s="283"/>
    </row>
    <row r="179" spans="1:16" ht="15.75" x14ac:dyDescent="0.25">
      <c r="A179">
        <v>161</v>
      </c>
      <c r="B179" s="129">
        <v>21</v>
      </c>
      <c r="C179" s="129" t="s">
        <v>407</v>
      </c>
      <c r="D179" s="201" t="s">
        <v>374</v>
      </c>
      <c r="E179" s="130" t="s">
        <v>342</v>
      </c>
      <c r="F179" s="163" t="s">
        <v>367</v>
      </c>
      <c r="G179" s="131">
        <v>1008730744</v>
      </c>
      <c r="H179" s="131"/>
      <c r="I179" s="47">
        <f>'[1]1st term 2025'!J187</f>
        <v>300000</v>
      </c>
      <c r="J179" s="37">
        <f>'term one 2026'!L182</f>
        <v>0</v>
      </c>
      <c r="K179" s="107">
        <f>300000</f>
        <v>300000</v>
      </c>
      <c r="L179" s="39">
        <f t="shared" si="2"/>
        <v>0</v>
      </c>
      <c r="M179" s="78" t="s">
        <v>43</v>
      </c>
      <c r="N179" s="71"/>
      <c r="O179" s="42"/>
      <c r="P179" s="42"/>
    </row>
    <row r="180" spans="1:16" ht="15.75" x14ac:dyDescent="0.25">
      <c r="A180">
        <v>162</v>
      </c>
      <c r="B180" s="129">
        <v>22</v>
      </c>
      <c r="C180" s="155" t="s">
        <v>408</v>
      </c>
      <c r="D180" s="155"/>
      <c r="E180" s="156" t="s">
        <v>409</v>
      </c>
      <c r="F180" s="163" t="s">
        <v>367</v>
      </c>
      <c r="G180" s="157"/>
      <c r="H180" s="157"/>
      <c r="I180" s="47">
        <f>'[1]1st term 2025'!J189</f>
        <v>500000</v>
      </c>
      <c r="J180" s="37">
        <f>'term one 2026'!L183</f>
        <v>0</v>
      </c>
      <c r="K180" s="158">
        <f>400000+100000</f>
        <v>500000</v>
      </c>
      <c r="L180" s="39">
        <f t="shared" si="2"/>
        <v>0</v>
      </c>
      <c r="M180" s="160" t="s">
        <v>190</v>
      </c>
      <c r="N180" s="154"/>
      <c r="O180" s="42"/>
      <c r="P180" s="42"/>
    </row>
    <row r="181" spans="1:16" ht="15.75" x14ac:dyDescent="0.25">
      <c r="A181">
        <v>163</v>
      </c>
      <c r="B181" s="129">
        <v>23</v>
      </c>
      <c r="C181" s="129" t="s">
        <v>410</v>
      </c>
      <c r="D181" s="201" t="s">
        <v>37</v>
      </c>
      <c r="E181" s="130"/>
      <c r="F181" s="163" t="s">
        <v>367</v>
      </c>
      <c r="G181" s="131"/>
      <c r="H181" s="131"/>
      <c r="I181" s="47">
        <f>630000</f>
        <v>630000</v>
      </c>
      <c r="J181" s="37">
        <f>'term one 2026'!L184</f>
        <v>-670000</v>
      </c>
      <c r="K181" s="107"/>
      <c r="L181" s="39">
        <f t="shared" si="2"/>
        <v>-40000</v>
      </c>
      <c r="M181" s="78"/>
      <c r="N181" s="71"/>
      <c r="O181" s="42"/>
      <c r="P181" s="42"/>
    </row>
    <row r="182" spans="1:16" ht="15.75" x14ac:dyDescent="0.25">
      <c r="A182">
        <v>164</v>
      </c>
      <c r="B182" s="129">
        <v>24</v>
      </c>
      <c r="C182" s="129" t="s">
        <v>411</v>
      </c>
      <c r="D182" s="201" t="s">
        <v>412</v>
      </c>
      <c r="E182" s="130"/>
      <c r="F182" s="163" t="s">
        <v>367</v>
      </c>
      <c r="G182" s="131"/>
      <c r="H182" s="131"/>
      <c r="I182" s="47">
        <f>280000</f>
        <v>280000</v>
      </c>
      <c r="J182" s="37">
        <f>'term one 2026'!L185</f>
        <v>0</v>
      </c>
      <c r="K182" s="107">
        <f>130000</f>
        <v>130000</v>
      </c>
      <c r="L182" s="39">
        <f t="shared" si="2"/>
        <v>150000</v>
      </c>
      <c r="M182" s="223" t="s">
        <v>528</v>
      </c>
      <c r="N182" s="71"/>
      <c r="O182" s="42"/>
      <c r="P182" s="42"/>
    </row>
    <row r="183" spans="1:16" ht="15.75" x14ac:dyDescent="0.25">
      <c r="A183">
        <v>165</v>
      </c>
      <c r="B183" s="129">
        <v>25</v>
      </c>
      <c r="C183" s="129" t="s">
        <v>588</v>
      </c>
      <c r="D183" s="201" t="s">
        <v>589</v>
      </c>
      <c r="E183" s="130"/>
      <c r="F183" s="165" t="s">
        <v>590</v>
      </c>
      <c r="G183" s="131"/>
      <c r="H183" s="131"/>
      <c r="I183" s="47">
        <v>550000</v>
      </c>
      <c r="J183" s="37">
        <f>'term one 2026'!L186</f>
        <v>0</v>
      </c>
      <c r="K183" s="107">
        <f>300000+250000</f>
        <v>550000</v>
      </c>
      <c r="L183" s="39">
        <f t="shared" si="2"/>
        <v>0</v>
      </c>
      <c r="M183" s="78"/>
      <c r="N183" s="71"/>
      <c r="O183" s="42"/>
      <c r="P183" s="42"/>
    </row>
    <row r="184" spans="1:16" ht="25.5" x14ac:dyDescent="0.35">
      <c r="B184" s="129"/>
      <c r="C184" s="104"/>
      <c r="D184" s="104" t="s">
        <v>413</v>
      </c>
      <c r="E184" s="208"/>
      <c r="F184" s="106"/>
      <c r="G184" s="106"/>
      <c r="H184" s="106"/>
      <c r="I184" s="47">
        <f>'[1]1st term 2025'!J195</f>
        <v>0</v>
      </c>
      <c r="J184" s="37">
        <f>'term one 2026'!L187</f>
        <v>0</v>
      </c>
      <c r="K184" s="166"/>
      <c r="L184" s="39">
        <f t="shared" si="2"/>
        <v>0</v>
      </c>
      <c r="M184" s="167"/>
      <c r="N184" s="42"/>
      <c r="O184" s="42"/>
      <c r="P184" s="42"/>
    </row>
    <row r="185" spans="1:16" s="273" customFormat="1" ht="15.75" x14ac:dyDescent="0.25">
      <c r="A185">
        <v>166</v>
      </c>
      <c r="B185" s="129">
        <v>1</v>
      </c>
      <c r="C185" s="209" t="s">
        <v>258</v>
      </c>
      <c r="D185" s="209"/>
      <c r="E185" s="210" t="s">
        <v>414</v>
      </c>
      <c r="F185" s="209" t="s">
        <v>415</v>
      </c>
      <c r="G185" s="211">
        <v>1003939786</v>
      </c>
      <c r="H185" s="211">
        <v>705362439</v>
      </c>
      <c r="I185" s="269">
        <v>0</v>
      </c>
      <c r="J185" s="270">
        <f>'term one 2026'!L188</f>
        <v>0</v>
      </c>
      <c r="K185" s="212"/>
      <c r="L185" s="271">
        <f t="shared" si="2"/>
        <v>0</v>
      </c>
      <c r="M185" s="148"/>
      <c r="N185" s="272"/>
      <c r="O185" s="272"/>
      <c r="P185" s="272"/>
    </row>
    <row r="186" spans="1:16" ht="15.75" x14ac:dyDescent="0.25">
      <c r="A186">
        <v>167</v>
      </c>
      <c r="B186" s="129">
        <v>2</v>
      </c>
      <c r="C186" s="137" t="s">
        <v>416</v>
      </c>
      <c r="D186" s="137"/>
      <c r="E186" s="138" t="s">
        <v>417</v>
      </c>
      <c r="F186" s="104" t="s">
        <v>415</v>
      </c>
      <c r="G186" s="139">
        <v>1003547922</v>
      </c>
      <c r="H186" s="139"/>
      <c r="I186" s="47">
        <v>0</v>
      </c>
      <c r="J186" s="37">
        <f>'term one 2026'!L189</f>
        <v>0</v>
      </c>
      <c r="K186" s="140"/>
      <c r="L186" s="39">
        <f t="shared" si="2"/>
        <v>0</v>
      </c>
      <c r="M186" s="141"/>
      <c r="N186" s="42"/>
      <c r="O186" s="42"/>
      <c r="P186" s="42"/>
    </row>
    <row r="187" spans="1:16" ht="15.75" x14ac:dyDescent="0.25">
      <c r="A187">
        <v>168</v>
      </c>
      <c r="B187" s="129">
        <v>3</v>
      </c>
      <c r="C187" s="132" t="s">
        <v>93</v>
      </c>
      <c r="D187" s="132"/>
      <c r="E187" s="133" t="s">
        <v>418</v>
      </c>
      <c r="F187" s="104" t="s">
        <v>415</v>
      </c>
      <c r="G187" s="134">
        <v>1002543108</v>
      </c>
      <c r="H187" s="134">
        <v>752674473</v>
      </c>
      <c r="I187" s="47">
        <v>0</v>
      </c>
      <c r="J187" s="37">
        <f>'term one 2026'!L190</f>
        <v>0</v>
      </c>
      <c r="K187" s="135"/>
      <c r="L187" s="39">
        <f t="shared" si="2"/>
        <v>0</v>
      </c>
      <c r="M187" s="59"/>
      <c r="N187" s="42" t="s">
        <v>221</v>
      </c>
      <c r="O187" s="42"/>
      <c r="P187" s="42"/>
    </row>
    <row r="188" spans="1:16" ht="15.75" x14ac:dyDescent="0.25">
      <c r="A188">
        <v>169</v>
      </c>
      <c r="B188" s="129">
        <v>4</v>
      </c>
      <c r="C188" s="104" t="s">
        <v>419</v>
      </c>
      <c r="D188" s="104"/>
      <c r="E188" s="105" t="s">
        <v>420</v>
      </c>
      <c r="F188" s="104" t="s">
        <v>415</v>
      </c>
      <c r="G188" s="106">
        <v>1004004316</v>
      </c>
      <c r="H188" s="106">
        <v>772924737</v>
      </c>
      <c r="I188" s="47">
        <f>'[1]1st term 2025'!J204</f>
        <v>335000</v>
      </c>
      <c r="J188" s="37">
        <f>'term one 2026'!L191</f>
        <v>0</v>
      </c>
      <c r="K188" s="166">
        <f>200000+135000</f>
        <v>335000</v>
      </c>
      <c r="L188" s="39">
        <f t="shared" si="2"/>
        <v>0</v>
      </c>
      <c r="M188" s="108"/>
      <c r="N188" s="42"/>
      <c r="O188" s="42"/>
      <c r="P188" s="42"/>
    </row>
    <row r="189" spans="1:16" ht="15.75" x14ac:dyDescent="0.25">
      <c r="A189">
        <v>170</v>
      </c>
      <c r="B189" s="129">
        <v>5</v>
      </c>
      <c r="C189" s="163" t="s">
        <v>421</v>
      </c>
      <c r="D189" s="163"/>
      <c r="E189" s="164" t="s">
        <v>422</v>
      </c>
      <c r="F189" s="104" t="s">
        <v>415</v>
      </c>
      <c r="G189" s="165">
        <v>1001865576</v>
      </c>
      <c r="H189" s="165">
        <v>706948165</v>
      </c>
      <c r="I189" s="47">
        <f>350000+60000+40000</f>
        <v>450000</v>
      </c>
      <c r="J189" s="37">
        <f>'term one 2026'!L192</f>
        <v>0</v>
      </c>
      <c r="K189" s="166">
        <f>100000+100000+50000+50000+150000</f>
        <v>450000</v>
      </c>
      <c r="L189" s="39">
        <f t="shared" si="2"/>
        <v>0</v>
      </c>
      <c r="M189" s="167"/>
      <c r="N189" s="42"/>
      <c r="O189" s="42"/>
      <c r="P189" s="42"/>
    </row>
    <row r="190" spans="1:16" ht="15.75" x14ac:dyDescent="0.25">
      <c r="A190">
        <v>171</v>
      </c>
      <c r="B190" s="129">
        <v>6</v>
      </c>
      <c r="C190" s="183" t="s">
        <v>158</v>
      </c>
      <c r="D190" s="183" t="s">
        <v>423</v>
      </c>
      <c r="E190" s="184" t="s">
        <v>44</v>
      </c>
      <c r="F190" s="104" t="s">
        <v>415</v>
      </c>
      <c r="G190" s="185">
        <v>1003547927</v>
      </c>
      <c r="H190" s="185"/>
      <c r="I190" s="47">
        <v>0</v>
      </c>
      <c r="J190" s="37">
        <f>'term one 2026'!L193</f>
        <v>0</v>
      </c>
      <c r="K190" s="186"/>
      <c r="L190" s="39">
        <f t="shared" si="2"/>
        <v>0</v>
      </c>
      <c r="M190" s="187"/>
      <c r="N190" s="42"/>
      <c r="O190" s="42"/>
      <c r="P190" s="42"/>
    </row>
    <row r="191" spans="1:16" ht="15.75" x14ac:dyDescent="0.25">
      <c r="A191">
        <v>172</v>
      </c>
      <c r="B191" s="129">
        <v>7</v>
      </c>
      <c r="C191" s="209" t="s">
        <v>424</v>
      </c>
      <c r="D191" s="209"/>
      <c r="E191" s="210" t="s">
        <v>425</v>
      </c>
      <c r="F191" s="104" t="s">
        <v>415</v>
      </c>
      <c r="G191" s="211">
        <v>1003547935</v>
      </c>
      <c r="H191" s="211">
        <v>753743543</v>
      </c>
      <c r="I191" s="47">
        <v>67000</v>
      </c>
      <c r="J191" s="37">
        <f>'term one 2026'!L194</f>
        <v>0</v>
      </c>
      <c r="K191" s="212">
        <f>60000</f>
        <v>60000</v>
      </c>
      <c r="L191" s="39">
        <f t="shared" si="2"/>
        <v>7000</v>
      </c>
      <c r="M191" s="148" t="s">
        <v>295</v>
      </c>
      <c r="N191" s="42"/>
      <c r="O191" s="42"/>
      <c r="P191" s="42"/>
    </row>
    <row r="192" spans="1:16" ht="15.75" x14ac:dyDescent="0.25">
      <c r="A192">
        <v>173</v>
      </c>
      <c r="B192" s="129">
        <v>8</v>
      </c>
      <c r="C192" s="183" t="s">
        <v>206</v>
      </c>
      <c r="D192" s="183"/>
      <c r="E192" s="184" t="s">
        <v>426</v>
      </c>
      <c r="F192" s="104" t="s">
        <v>415</v>
      </c>
      <c r="G192" s="185">
        <v>1003547938</v>
      </c>
      <c r="H192" s="185">
        <v>759611414</v>
      </c>
      <c r="I192" s="47">
        <v>67000</v>
      </c>
      <c r="J192" s="37">
        <f>'term one 2026'!L195</f>
        <v>0</v>
      </c>
      <c r="K192" s="186"/>
      <c r="L192" s="39">
        <f t="shared" si="2"/>
        <v>67000</v>
      </c>
      <c r="M192" s="187" t="s">
        <v>295</v>
      </c>
      <c r="N192" s="42"/>
      <c r="O192" s="42"/>
      <c r="P192" s="42"/>
    </row>
    <row r="193" spans="1:16" ht="15.75" x14ac:dyDescent="0.25">
      <c r="A193">
        <v>174</v>
      </c>
      <c r="B193" s="129">
        <v>9</v>
      </c>
      <c r="C193" s="183" t="s">
        <v>427</v>
      </c>
      <c r="D193" s="183"/>
      <c r="E193" s="184" t="s">
        <v>428</v>
      </c>
      <c r="F193" s="104" t="s">
        <v>415</v>
      </c>
      <c r="G193" s="185">
        <v>1003547933</v>
      </c>
      <c r="H193" s="185">
        <v>757318075</v>
      </c>
      <c r="I193" s="47">
        <v>67000</v>
      </c>
      <c r="J193" s="37">
        <f>'term one 2026'!L196</f>
        <v>0</v>
      </c>
      <c r="K193" s="186">
        <f>30000</f>
        <v>30000</v>
      </c>
      <c r="L193" s="39">
        <f t="shared" ref="L193:L237" si="3">I193+J193-K193</f>
        <v>37000</v>
      </c>
      <c r="M193" s="187" t="s">
        <v>295</v>
      </c>
      <c r="N193" s="42"/>
      <c r="O193" s="42"/>
      <c r="P193" s="42"/>
    </row>
    <row r="194" spans="1:16" ht="15.75" x14ac:dyDescent="0.25">
      <c r="A194">
        <v>175</v>
      </c>
      <c r="B194" s="129">
        <v>10</v>
      </c>
      <c r="C194" s="129" t="s">
        <v>429</v>
      </c>
      <c r="D194" s="129"/>
      <c r="E194" s="130" t="s">
        <v>303</v>
      </c>
      <c r="F194" s="104" t="s">
        <v>415</v>
      </c>
      <c r="G194" s="131">
        <v>1003285813</v>
      </c>
      <c r="H194" s="131">
        <v>751424326</v>
      </c>
      <c r="I194" s="47">
        <f>'[1]1st term 2025'!J211</f>
        <v>335000</v>
      </c>
      <c r="J194" s="37">
        <v>0</v>
      </c>
      <c r="K194" s="107">
        <f>100000+180000</f>
        <v>280000</v>
      </c>
      <c r="L194" s="39">
        <f t="shared" si="3"/>
        <v>55000</v>
      </c>
      <c r="M194" s="78"/>
      <c r="N194" s="42"/>
      <c r="O194" s="42"/>
      <c r="P194" s="42"/>
    </row>
    <row r="195" spans="1:16" ht="15.75" x14ac:dyDescent="0.25">
      <c r="A195">
        <v>176</v>
      </c>
      <c r="B195" s="129">
        <v>11</v>
      </c>
      <c r="C195" s="129" t="s">
        <v>430</v>
      </c>
      <c r="D195" s="129"/>
      <c r="E195" s="130" t="s">
        <v>431</v>
      </c>
      <c r="F195" s="104" t="s">
        <v>415</v>
      </c>
      <c r="G195" s="131">
        <v>1005475267</v>
      </c>
      <c r="H195" s="131">
        <v>706981286</v>
      </c>
      <c r="I195" s="47">
        <f>'[1]1st term 2025'!J212</f>
        <v>500000</v>
      </c>
      <c r="J195" s="37">
        <f>'term one 2026'!L198</f>
        <v>0</v>
      </c>
      <c r="K195" s="107">
        <f>300000+200000</f>
        <v>500000</v>
      </c>
      <c r="L195" s="39">
        <f t="shared" si="3"/>
        <v>0</v>
      </c>
      <c r="M195" s="78" t="s">
        <v>295</v>
      </c>
      <c r="N195" s="42"/>
      <c r="O195" s="42"/>
      <c r="P195" s="42"/>
    </row>
    <row r="196" spans="1:16" ht="15.75" x14ac:dyDescent="0.25">
      <c r="A196">
        <v>177</v>
      </c>
      <c r="B196" s="129">
        <v>12</v>
      </c>
      <c r="C196" s="129" t="s">
        <v>432</v>
      </c>
      <c r="D196" s="82"/>
      <c r="E196" s="130" t="s">
        <v>433</v>
      </c>
      <c r="F196" s="104" t="s">
        <v>415</v>
      </c>
      <c r="G196" s="131">
        <v>1007107172</v>
      </c>
      <c r="H196" s="131"/>
      <c r="I196" s="47">
        <f>'[1]1st term 2025'!J214+20000</f>
        <v>355000</v>
      </c>
      <c r="J196" s="37">
        <f>'term one 2026'!L199</f>
        <v>0</v>
      </c>
      <c r="K196" s="107">
        <f>100000+100000+50000</f>
        <v>250000</v>
      </c>
      <c r="L196" s="39">
        <f t="shared" si="3"/>
        <v>105000</v>
      </c>
      <c r="M196" s="78"/>
      <c r="N196" s="42"/>
      <c r="O196" s="42"/>
      <c r="P196" s="42"/>
    </row>
    <row r="197" spans="1:16" ht="15.75" x14ac:dyDescent="0.25">
      <c r="A197">
        <v>178</v>
      </c>
      <c r="B197" s="129">
        <v>13</v>
      </c>
      <c r="C197" s="129" t="s">
        <v>434</v>
      </c>
      <c r="D197" s="201" t="s">
        <v>435</v>
      </c>
      <c r="E197" s="130" t="s">
        <v>436</v>
      </c>
      <c r="F197" s="104" t="s">
        <v>415</v>
      </c>
      <c r="G197" s="131">
        <v>1008697339</v>
      </c>
      <c r="H197" s="131"/>
      <c r="I197" s="47">
        <f>630000</f>
        <v>630000</v>
      </c>
      <c r="J197" s="37">
        <f>'term one 2026'!L200</f>
        <v>0</v>
      </c>
      <c r="K197" s="107">
        <f>250000</f>
        <v>250000</v>
      </c>
      <c r="L197" s="39">
        <f t="shared" si="3"/>
        <v>380000</v>
      </c>
      <c r="M197" s="43"/>
      <c r="N197" s="42"/>
      <c r="O197" s="42"/>
      <c r="P197" s="42"/>
    </row>
    <row r="198" spans="1:16" ht="15.75" x14ac:dyDescent="0.25">
      <c r="A198">
        <v>179</v>
      </c>
      <c r="B198" s="129">
        <v>14</v>
      </c>
      <c r="C198" s="190" t="s">
        <v>437</v>
      </c>
      <c r="D198" s="194" t="s">
        <v>438</v>
      </c>
      <c r="E198" s="191"/>
      <c r="F198" s="104" t="s">
        <v>415</v>
      </c>
      <c r="G198" s="192">
        <v>1008448851</v>
      </c>
      <c r="H198" s="192"/>
      <c r="I198" s="47">
        <f>'[1]1st term 2025'!J219</f>
        <v>500000</v>
      </c>
      <c r="J198" s="37">
        <f>'term one 2026'!L201</f>
        <v>0</v>
      </c>
      <c r="K198" s="193">
        <f>400000</f>
        <v>400000</v>
      </c>
      <c r="L198" s="39">
        <f t="shared" si="3"/>
        <v>100000</v>
      </c>
      <c r="M198" s="98" t="s">
        <v>295</v>
      </c>
      <c r="N198" s="42"/>
      <c r="O198" s="42"/>
      <c r="P198" s="42"/>
    </row>
    <row r="199" spans="1:16" ht="15.75" x14ac:dyDescent="0.25">
      <c r="A199">
        <v>180</v>
      </c>
      <c r="B199" s="129">
        <v>15</v>
      </c>
      <c r="C199" s="129" t="s">
        <v>439</v>
      </c>
      <c r="D199" s="201" t="s">
        <v>440</v>
      </c>
      <c r="E199" s="130"/>
      <c r="F199" s="104" t="s">
        <v>415</v>
      </c>
      <c r="G199" s="131"/>
      <c r="H199" s="131"/>
      <c r="I199" s="47">
        <f>'[1]1st term 2025'!J220</f>
        <v>335000</v>
      </c>
      <c r="J199" s="37">
        <f>'term one 2026'!L202</f>
        <v>0</v>
      </c>
      <c r="K199" s="107">
        <f>240000+95000</f>
        <v>335000</v>
      </c>
      <c r="L199" s="39">
        <f t="shared" si="3"/>
        <v>0</v>
      </c>
      <c r="M199" s="43"/>
      <c r="N199" s="42"/>
      <c r="O199" s="42"/>
      <c r="P199" s="42"/>
    </row>
    <row r="200" spans="1:16" ht="15.75" x14ac:dyDescent="0.25">
      <c r="A200">
        <v>181</v>
      </c>
      <c r="B200" s="129">
        <v>16</v>
      </c>
      <c r="C200" s="129" t="s">
        <v>441</v>
      </c>
      <c r="D200" s="201"/>
      <c r="E200" s="130" t="s">
        <v>442</v>
      </c>
      <c r="F200" s="104" t="s">
        <v>415</v>
      </c>
      <c r="G200" s="131">
        <v>1009035686</v>
      </c>
      <c r="H200" s="131"/>
      <c r="I200" s="47">
        <f>400000+60000+20000</f>
        <v>480000</v>
      </c>
      <c r="J200" s="37">
        <f>'term one 2026'!L203</f>
        <v>0</v>
      </c>
      <c r="K200" s="107">
        <f>335000</f>
        <v>335000</v>
      </c>
      <c r="L200" s="39">
        <f t="shared" si="3"/>
        <v>145000</v>
      </c>
      <c r="M200" s="43"/>
      <c r="N200" s="109"/>
      <c r="O200" s="42"/>
      <c r="P200" s="42"/>
    </row>
    <row r="201" spans="1:16" ht="15.75" x14ac:dyDescent="0.25">
      <c r="A201">
        <v>182</v>
      </c>
      <c r="B201" s="129">
        <v>17</v>
      </c>
      <c r="C201" s="129" t="s">
        <v>443</v>
      </c>
      <c r="D201" s="201" t="s">
        <v>372</v>
      </c>
      <c r="E201" s="130"/>
      <c r="F201" s="104" t="s">
        <v>415</v>
      </c>
      <c r="G201" s="131">
        <v>1008698626</v>
      </c>
      <c r="H201" s="131"/>
      <c r="I201" s="47">
        <f>630000+60000</f>
        <v>690000</v>
      </c>
      <c r="J201" s="37">
        <f>'term one 2026'!L204</f>
        <v>0</v>
      </c>
      <c r="K201" s="107">
        <f>200000+430000</f>
        <v>630000</v>
      </c>
      <c r="L201" s="39">
        <f t="shared" si="3"/>
        <v>60000</v>
      </c>
      <c r="M201" s="43" t="s">
        <v>295</v>
      </c>
      <c r="N201" s="42"/>
      <c r="O201" s="42"/>
      <c r="P201" s="42"/>
    </row>
    <row r="202" spans="1:16" ht="15.75" x14ac:dyDescent="0.25">
      <c r="A202">
        <v>183</v>
      </c>
      <c r="B202" s="129">
        <v>18</v>
      </c>
      <c r="C202" s="129" t="s">
        <v>444</v>
      </c>
      <c r="D202" s="201"/>
      <c r="E202" s="130" t="s">
        <v>445</v>
      </c>
      <c r="F202" s="104" t="s">
        <v>415</v>
      </c>
      <c r="G202" s="131"/>
      <c r="H202" s="131"/>
      <c r="I202" s="47">
        <f>550000+20000</f>
        <v>570000</v>
      </c>
      <c r="J202" s="37">
        <f>'term one 2026'!L205</f>
        <v>0</v>
      </c>
      <c r="K202" s="107">
        <f>200000+200000</f>
        <v>400000</v>
      </c>
      <c r="L202" s="39">
        <f t="shared" si="3"/>
        <v>170000</v>
      </c>
      <c r="M202" s="43" t="s">
        <v>295</v>
      </c>
      <c r="N202" s="42"/>
      <c r="O202" s="42"/>
      <c r="P202" s="42"/>
    </row>
    <row r="203" spans="1:16" ht="15.75" x14ac:dyDescent="0.25">
      <c r="A203">
        <v>184</v>
      </c>
      <c r="B203" s="129">
        <v>19</v>
      </c>
      <c r="C203" s="129" t="s">
        <v>448</v>
      </c>
      <c r="D203" s="201" t="s">
        <v>449</v>
      </c>
      <c r="E203" s="130"/>
      <c r="F203" s="104" t="s">
        <v>450</v>
      </c>
      <c r="G203" s="131"/>
      <c r="H203" s="131"/>
      <c r="I203" s="47">
        <f>300000+60000+20000</f>
        <v>380000</v>
      </c>
      <c r="J203" s="37">
        <f>'term one 2026'!L207</f>
        <v>0</v>
      </c>
      <c r="K203" s="107">
        <f>165000+100000</f>
        <v>265000</v>
      </c>
      <c r="L203" s="39">
        <f t="shared" si="3"/>
        <v>115000</v>
      </c>
      <c r="M203" s="43"/>
      <c r="N203" s="42"/>
      <c r="O203" s="42"/>
      <c r="P203" s="42"/>
    </row>
    <row r="204" spans="1:16" ht="15.75" x14ac:dyDescent="0.25">
      <c r="A204">
        <v>185</v>
      </c>
      <c r="B204" s="129">
        <v>20</v>
      </c>
      <c r="C204" s="129" t="s">
        <v>739</v>
      </c>
      <c r="D204" s="201" t="s">
        <v>740</v>
      </c>
      <c r="E204" s="130"/>
      <c r="F204" s="104" t="s">
        <v>450</v>
      </c>
      <c r="G204" s="131"/>
      <c r="H204" s="131"/>
      <c r="I204" s="47">
        <f>335000-50000</f>
        <v>285000</v>
      </c>
      <c r="J204" s="37"/>
      <c r="K204" s="107">
        <f>100000</f>
        <v>100000</v>
      </c>
      <c r="L204" s="39">
        <f t="shared" si="3"/>
        <v>185000</v>
      </c>
      <c r="M204" s="43"/>
      <c r="N204" s="42"/>
      <c r="O204" s="42"/>
      <c r="P204" s="42"/>
    </row>
    <row r="205" spans="1:16" ht="15.75" x14ac:dyDescent="0.25">
      <c r="A205">
        <v>186</v>
      </c>
      <c r="B205" s="129">
        <v>21</v>
      </c>
      <c r="C205" s="129" t="s">
        <v>741</v>
      </c>
      <c r="D205" s="201" t="s">
        <v>740</v>
      </c>
      <c r="E205" s="130"/>
      <c r="F205" s="104" t="s">
        <v>450</v>
      </c>
      <c r="G205" s="131"/>
      <c r="H205" s="131"/>
      <c r="I205" s="47">
        <f>335000-50000</f>
        <v>285000</v>
      </c>
      <c r="J205" s="37"/>
      <c r="K205" s="107">
        <f>100000</f>
        <v>100000</v>
      </c>
      <c r="L205" s="39">
        <f t="shared" si="3"/>
        <v>185000</v>
      </c>
      <c r="M205" s="43"/>
      <c r="N205" s="42"/>
      <c r="O205" s="42"/>
      <c r="P205" s="42"/>
    </row>
    <row r="206" spans="1:16" ht="15.75" x14ac:dyDescent="0.25">
      <c r="B206" s="129"/>
      <c r="C206" s="129"/>
      <c r="D206" s="201"/>
      <c r="E206" s="130"/>
      <c r="F206" s="104"/>
      <c r="G206" s="131"/>
      <c r="H206" s="131"/>
      <c r="I206" s="47"/>
      <c r="J206" s="37">
        <f>'term one 2026'!L208</f>
        <v>0</v>
      </c>
      <c r="K206" s="107"/>
      <c r="L206" s="39"/>
      <c r="M206" s="43"/>
      <c r="N206" s="42"/>
      <c r="O206" s="42"/>
      <c r="P206" s="42"/>
    </row>
    <row r="207" spans="1:16" ht="15.75" x14ac:dyDescent="0.25">
      <c r="B207" s="129"/>
      <c r="C207" s="129"/>
      <c r="D207" s="201"/>
      <c r="E207" s="130"/>
      <c r="F207" s="104"/>
      <c r="G207" s="131"/>
      <c r="H207" s="131"/>
      <c r="I207" s="47"/>
      <c r="J207" s="37">
        <f>'term one 2026'!L209</f>
        <v>0</v>
      </c>
      <c r="K207" s="107"/>
      <c r="L207" s="39"/>
      <c r="M207" s="43"/>
      <c r="N207" s="42"/>
      <c r="O207" s="42"/>
      <c r="P207" s="42"/>
    </row>
    <row r="208" spans="1:16" ht="18.75" x14ac:dyDescent="0.3">
      <c r="B208" s="129"/>
      <c r="C208" s="104"/>
      <c r="D208" s="213" t="s">
        <v>451</v>
      </c>
      <c r="E208" s="105"/>
      <c r="F208" s="106"/>
      <c r="G208" s="106"/>
      <c r="H208" s="106"/>
      <c r="I208" s="47">
        <f>'[1]1st term 2025'!J228</f>
        <v>0</v>
      </c>
      <c r="J208" s="37">
        <f>'term one 2026'!L210</f>
        <v>0</v>
      </c>
      <c r="K208" s="107"/>
      <c r="L208" s="39">
        <f t="shared" si="3"/>
        <v>0</v>
      </c>
      <c r="M208" s="108"/>
      <c r="N208" s="42"/>
      <c r="O208" s="42"/>
      <c r="P208" s="42"/>
    </row>
    <row r="209" spans="1:16" ht="15.75" x14ac:dyDescent="0.25">
      <c r="A209">
        <v>187</v>
      </c>
      <c r="B209" s="129">
        <v>1</v>
      </c>
      <c r="C209" s="163" t="s">
        <v>452</v>
      </c>
      <c r="D209" s="163"/>
      <c r="E209" s="164" t="s">
        <v>453</v>
      </c>
      <c r="F209" s="163" t="s">
        <v>454</v>
      </c>
      <c r="G209" s="165">
        <v>1003291547</v>
      </c>
      <c r="H209" s="165">
        <v>782956628</v>
      </c>
      <c r="I209" s="47">
        <f>'[1]1st term 2025'!J229+100000</f>
        <v>435000</v>
      </c>
      <c r="J209" s="37">
        <f>'term one 2026'!L211</f>
        <v>0</v>
      </c>
      <c r="K209" s="166">
        <f>100000+100000+100000</f>
        <v>300000</v>
      </c>
      <c r="L209" s="39">
        <f t="shared" si="3"/>
        <v>135000</v>
      </c>
      <c r="M209" s="78" t="s">
        <v>455</v>
      </c>
      <c r="N209" s="42"/>
      <c r="O209" s="42"/>
      <c r="P209" s="42"/>
    </row>
    <row r="210" spans="1:16" ht="15.75" x14ac:dyDescent="0.25">
      <c r="A210">
        <v>188</v>
      </c>
      <c r="B210" s="129">
        <v>2</v>
      </c>
      <c r="C210" s="190" t="s">
        <v>456</v>
      </c>
      <c r="D210" s="190" t="s">
        <v>457</v>
      </c>
      <c r="E210" s="191" t="s">
        <v>388</v>
      </c>
      <c r="F210" s="163" t="s">
        <v>454</v>
      </c>
      <c r="G210" s="192">
        <v>1005379075</v>
      </c>
      <c r="H210" s="192">
        <v>708531444</v>
      </c>
      <c r="I210" s="47">
        <f>85000+150000+60000+20000</f>
        <v>315000</v>
      </c>
      <c r="J210" s="37">
        <f>'term one 2026'!L212</f>
        <v>85000</v>
      </c>
      <c r="K210" s="193">
        <f>135000</f>
        <v>135000</v>
      </c>
      <c r="L210" s="39">
        <f t="shared" si="3"/>
        <v>265000</v>
      </c>
      <c r="M210" s="98"/>
      <c r="N210" s="99"/>
      <c r="O210" s="42"/>
      <c r="P210" s="42"/>
    </row>
    <row r="211" spans="1:16" ht="15.75" x14ac:dyDescent="0.25">
      <c r="A211">
        <v>189</v>
      </c>
      <c r="B211" s="129">
        <v>3</v>
      </c>
      <c r="C211" s="183" t="s">
        <v>458</v>
      </c>
      <c r="D211" s="183"/>
      <c r="E211" s="214" t="s">
        <v>459</v>
      </c>
      <c r="F211" s="163" t="s">
        <v>454</v>
      </c>
      <c r="G211" s="215">
        <v>1004024811</v>
      </c>
      <c r="H211" s="215">
        <v>700898394</v>
      </c>
      <c r="I211" s="47">
        <f>67000+150000</f>
        <v>217000</v>
      </c>
      <c r="J211" s="37">
        <f>'term one 2026'!L213</f>
        <v>0</v>
      </c>
      <c r="K211" s="207">
        <f>60000</f>
        <v>60000</v>
      </c>
      <c r="L211" s="39">
        <f t="shared" si="3"/>
        <v>157000</v>
      </c>
      <c r="M211" s="187" t="s">
        <v>295</v>
      </c>
      <c r="N211" s="188"/>
      <c r="O211" s="42"/>
      <c r="P211" s="42"/>
    </row>
    <row r="212" spans="1:16" ht="15.75" x14ac:dyDescent="0.25">
      <c r="A212">
        <v>190</v>
      </c>
      <c r="B212" s="129">
        <v>4</v>
      </c>
      <c r="C212" s="163" t="s">
        <v>368</v>
      </c>
      <c r="D212" s="163" t="s">
        <v>460</v>
      </c>
      <c r="E212" s="164" t="s">
        <v>461</v>
      </c>
      <c r="F212" s="163" t="s">
        <v>454</v>
      </c>
      <c r="G212" s="165">
        <v>1002419485</v>
      </c>
      <c r="H212" s="165">
        <v>752246215</v>
      </c>
      <c r="I212" s="47">
        <f>335000</f>
        <v>335000</v>
      </c>
      <c r="J212" s="37">
        <f>'term one 2026'!L214</f>
        <v>0</v>
      </c>
      <c r="K212" s="166">
        <f>100000+235000</f>
        <v>335000</v>
      </c>
      <c r="L212" s="39">
        <f t="shared" si="3"/>
        <v>0</v>
      </c>
      <c r="M212" s="167"/>
      <c r="N212" s="42"/>
      <c r="O212" s="42"/>
      <c r="P212" s="42"/>
    </row>
    <row r="213" spans="1:16" ht="15.75" x14ac:dyDescent="0.25">
      <c r="A213">
        <v>191</v>
      </c>
      <c r="B213" s="129">
        <v>5</v>
      </c>
      <c r="C213" s="183" t="s">
        <v>462</v>
      </c>
      <c r="D213" s="183" t="s">
        <v>463</v>
      </c>
      <c r="E213" s="214" t="s">
        <v>380</v>
      </c>
      <c r="F213" s="163" t="s">
        <v>454</v>
      </c>
      <c r="G213" s="215">
        <v>1003175525</v>
      </c>
      <c r="H213" s="215">
        <v>755314299</v>
      </c>
      <c r="I213" s="47">
        <v>236000</v>
      </c>
      <c r="J213" s="37">
        <f>'term one 2026'!L215</f>
        <v>0</v>
      </c>
      <c r="K213" s="207">
        <f>236000</f>
        <v>236000</v>
      </c>
      <c r="L213" s="39">
        <f t="shared" si="3"/>
        <v>0</v>
      </c>
      <c r="M213" s="187" t="s">
        <v>295</v>
      </c>
      <c r="N213" s="42"/>
      <c r="O213" s="42"/>
      <c r="P213" s="42"/>
    </row>
    <row r="214" spans="1:16" ht="15.75" x14ac:dyDescent="0.25">
      <c r="A214">
        <v>192</v>
      </c>
      <c r="B214" s="129">
        <v>6</v>
      </c>
      <c r="C214" s="163" t="s">
        <v>393</v>
      </c>
      <c r="D214" s="163" t="s">
        <v>464</v>
      </c>
      <c r="E214" s="164" t="s">
        <v>465</v>
      </c>
      <c r="F214" s="163" t="s">
        <v>454</v>
      </c>
      <c r="G214" s="165">
        <v>1001865586</v>
      </c>
      <c r="H214" s="165"/>
      <c r="I214" s="47">
        <f>530000+50000</f>
        <v>580000</v>
      </c>
      <c r="J214" s="37">
        <f>'term one 2026'!L216</f>
        <v>0</v>
      </c>
      <c r="K214" s="166">
        <f>430000+150000</f>
        <v>580000</v>
      </c>
      <c r="L214" s="39">
        <f t="shared" si="3"/>
        <v>0</v>
      </c>
      <c r="M214" s="167"/>
      <c r="N214" s="42"/>
      <c r="O214" s="42"/>
      <c r="P214" s="42"/>
    </row>
    <row r="215" spans="1:16" ht="15.75" x14ac:dyDescent="0.25">
      <c r="A215">
        <v>193</v>
      </c>
      <c r="B215" s="129">
        <v>7</v>
      </c>
      <c r="C215" s="163" t="s">
        <v>466</v>
      </c>
      <c r="D215" s="163"/>
      <c r="E215" s="164" t="s">
        <v>467</v>
      </c>
      <c r="F215" s="163" t="s">
        <v>454</v>
      </c>
      <c r="G215" s="165">
        <v>1003547952</v>
      </c>
      <c r="H215" s="165"/>
      <c r="I215" s="47">
        <f>450000</f>
        <v>450000</v>
      </c>
      <c r="J215" s="37">
        <f>'term one 2026'!L217</f>
        <v>135000</v>
      </c>
      <c r="K215" s="166">
        <f>100000+100000+100000</f>
        <v>300000</v>
      </c>
      <c r="L215" s="39">
        <f t="shared" si="3"/>
        <v>285000</v>
      </c>
      <c r="M215" s="78" t="s">
        <v>455</v>
      </c>
      <c r="N215" s="42"/>
      <c r="O215" s="42"/>
      <c r="P215" s="42"/>
    </row>
    <row r="216" spans="1:16" ht="15.75" x14ac:dyDescent="0.25">
      <c r="A216">
        <v>194</v>
      </c>
      <c r="B216" s="129">
        <v>8</v>
      </c>
      <c r="C216" s="137" t="s">
        <v>31</v>
      </c>
      <c r="D216" s="137"/>
      <c r="E216" s="138" t="s">
        <v>468</v>
      </c>
      <c r="F216" s="163" t="s">
        <v>454</v>
      </c>
      <c r="G216" s="139">
        <v>1003547956</v>
      </c>
      <c r="H216" s="139"/>
      <c r="I216" s="47">
        <v>0</v>
      </c>
      <c r="J216" s="37">
        <f>'term one 2026'!L218</f>
        <v>0</v>
      </c>
      <c r="K216" s="140"/>
      <c r="L216" s="39">
        <f t="shared" si="3"/>
        <v>0</v>
      </c>
      <c r="M216" s="141"/>
      <c r="N216" s="42"/>
      <c r="O216" s="42"/>
      <c r="P216" s="42"/>
    </row>
    <row r="217" spans="1:16" ht="15.75" x14ac:dyDescent="0.25">
      <c r="A217">
        <v>195</v>
      </c>
      <c r="B217" s="129">
        <v>9</v>
      </c>
      <c r="C217" s="183" t="s">
        <v>469</v>
      </c>
      <c r="D217" s="183" t="s">
        <v>272</v>
      </c>
      <c r="E217" s="214" t="s">
        <v>470</v>
      </c>
      <c r="F217" s="163" t="s">
        <v>454</v>
      </c>
      <c r="G217" s="215">
        <v>1003547961</v>
      </c>
      <c r="H217" s="215"/>
      <c r="I217" s="47">
        <v>150000</v>
      </c>
      <c r="J217" s="37">
        <f>'term one 2026'!L219</f>
        <v>0</v>
      </c>
      <c r="K217" s="207">
        <f>30000</f>
        <v>30000</v>
      </c>
      <c r="L217" s="39">
        <f t="shared" si="3"/>
        <v>120000</v>
      </c>
      <c r="M217" s="216"/>
      <c r="N217" s="42"/>
      <c r="O217" s="42"/>
      <c r="P217" s="42"/>
    </row>
    <row r="218" spans="1:16" ht="15.75" x14ac:dyDescent="0.25">
      <c r="A218">
        <v>196</v>
      </c>
      <c r="B218" s="129">
        <v>10</v>
      </c>
      <c r="C218" s="183" t="s">
        <v>471</v>
      </c>
      <c r="D218" s="183" t="s">
        <v>272</v>
      </c>
      <c r="E218" s="214" t="s">
        <v>299</v>
      </c>
      <c r="F218" s="163" t="s">
        <v>454</v>
      </c>
      <c r="G218" s="215">
        <v>1003547964</v>
      </c>
      <c r="H218" s="215"/>
      <c r="I218" s="47">
        <v>150000</v>
      </c>
      <c r="J218" s="37">
        <f>'term one 2026'!L220</f>
        <v>0</v>
      </c>
      <c r="K218" s="207">
        <f>30000</f>
        <v>30000</v>
      </c>
      <c r="L218" s="39">
        <f t="shared" si="3"/>
        <v>120000</v>
      </c>
      <c r="M218" s="216"/>
      <c r="N218" s="42"/>
      <c r="O218" s="42"/>
      <c r="P218" s="42"/>
    </row>
    <row r="219" spans="1:16" ht="15.75" x14ac:dyDescent="0.25">
      <c r="A219">
        <v>197</v>
      </c>
      <c r="B219" s="129">
        <v>11</v>
      </c>
      <c r="C219" s="137" t="s">
        <v>472</v>
      </c>
      <c r="D219" s="137"/>
      <c r="E219" s="138" t="s">
        <v>473</v>
      </c>
      <c r="F219" s="163" t="s">
        <v>454</v>
      </c>
      <c r="G219" s="139">
        <v>1003547950</v>
      </c>
      <c r="H219" s="139"/>
      <c r="I219" s="47">
        <v>0</v>
      </c>
      <c r="J219" s="37">
        <f>'term one 2026'!L221</f>
        <v>0</v>
      </c>
      <c r="K219" s="140"/>
      <c r="L219" s="39">
        <f t="shared" si="3"/>
        <v>0</v>
      </c>
      <c r="M219" s="141"/>
      <c r="N219" s="42"/>
      <c r="O219" s="42"/>
      <c r="P219" s="42"/>
    </row>
    <row r="220" spans="1:16" ht="15.75" x14ac:dyDescent="0.25">
      <c r="A220">
        <v>198</v>
      </c>
      <c r="B220" s="129">
        <v>12</v>
      </c>
      <c r="C220" s="137" t="s">
        <v>474</v>
      </c>
      <c r="D220" s="137"/>
      <c r="E220" s="138" t="s">
        <v>475</v>
      </c>
      <c r="F220" s="163" t="s">
        <v>454</v>
      </c>
      <c r="G220" s="139">
        <v>1003547954</v>
      </c>
      <c r="H220" s="139"/>
      <c r="I220" s="47">
        <v>0</v>
      </c>
      <c r="J220" s="37">
        <f>'term one 2026'!L222</f>
        <v>0</v>
      </c>
      <c r="K220" s="140"/>
      <c r="L220" s="39">
        <f t="shared" si="3"/>
        <v>0</v>
      </c>
      <c r="M220" s="141"/>
      <c r="N220" s="42"/>
      <c r="O220" s="42"/>
      <c r="P220" s="42"/>
    </row>
    <row r="221" spans="1:16" ht="15.75" x14ac:dyDescent="0.25">
      <c r="A221">
        <v>199</v>
      </c>
      <c r="B221" s="129">
        <v>13</v>
      </c>
      <c r="C221" s="132" t="s">
        <v>476</v>
      </c>
      <c r="D221" s="132"/>
      <c r="E221" s="133" t="s">
        <v>477</v>
      </c>
      <c r="F221" s="163" t="s">
        <v>454</v>
      </c>
      <c r="G221" s="134">
        <v>1003547980</v>
      </c>
      <c r="H221" s="134">
        <v>756342797</v>
      </c>
      <c r="I221" s="47">
        <f>168000+150000</f>
        <v>318000</v>
      </c>
      <c r="J221" s="37">
        <f>'term one 2026'!L223</f>
        <v>98000</v>
      </c>
      <c r="K221" s="135"/>
      <c r="L221" s="39">
        <f t="shared" si="3"/>
        <v>416000</v>
      </c>
      <c r="M221" s="59" t="s">
        <v>295</v>
      </c>
      <c r="N221" s="42"/>
      <c r="O221" s="42"/>
      <c r="P221" s="42"/>
    </row>
    <row r="222" spans="1:16" ht="15.75" x14ac:dyDescent="0.25">
      <c r="A222">
        <v>200</v>
      </c>
      <c r="B222" s="129">
        <v>14</v>
      </c>
      <c r="C222" s="183" t="s">
        <v>478</v>
      </c>
      <c r="D222" s="183"/>
      <c r="E222" s="184" t="s">
        <v>479</v>
      </c>
      <c r="F222" s="163" t="s">
        <v>454</v>
      </c>
      <c r="G222" s="215">
        <v>1003547957</v>
      </c>
      <c r="H222" s="215">
        <v>754165864</v>
      </c>
      <c r="I222" s="47">
        <f>67000</f>
        <v>67000</v>
      </c>
      <c r="J222" s="37"/>
      <c r="K222" s="207">
        <f>67000</f>
        <v>67000</v>
      </c>
      <c r="L222" s="39">
        <f t="shared" si="3"/>
        <v>0</v>
      </c>
      <c r="M222" s="187" t="s">
        <v>295</v>
      </c>
      <c r="N222" s="42"/>
      <c r="O222" s="42"/>
      <c r="P222" s="42"/>
    </row>
    <row r="223" spans="1:16" ht="15.75" x14ac:dyDescent="0.25">
      <c r="A223">
        <v>201</v>
      </c>
      <c r="B223" s="129">
        <v>15</v>
      </c>
      <c r="C223" s="104" t="s">
        <v>123</v>
      </c>
      <c r="D223" s="104"/>
      <c r="E223" s="105" t="s">
        <v>153</v>
      </c>
      <c r="F223" s="163" t="s">
        <v>454</v>
      </c>
      <c r="G223" s="106">
        <v>1003547953</v>
      </c>
      <c r="H223" s="106">
        <v>704234684</v>
      </c>
      <c r="I223" s="47">
        <f>500000+50000+60000+20000</f>
        <v>630000</v>
      </c>
      <c r="J223" s="37">
        <f>'term one 2026'!L225</f>
        <v>0</v>
      </c>
      <c r="K223" s="166">
        <f>200000+150000</f>
        <v>350000</v>
      </c>
      <c r="L223" s="39">
        <f t="shared" si="3"/>
        <v>280000</v>
      </c>
      <c r="M223" s="108" t="s">
        <v>480</v>
      </c>
      <c r="N223" s="42"/>
      <c r="O223" s="42"/>
      <c r="P223" s="42"/>
    </row>
    <row r="224" spans="1:16" ht="15.75" x14ac:dyDescent="0.25">
      <c r="A224">
        <v>202</v>
      </c>
      <c r="B224" s="129">
        <v>16</v>
      </c>
      <c r="C224" s="183" t="s">
        <v>481</v>
      </c>
      <c r="D224" s="183"/>
      <c r="E224" s="184" t="s">
        <v>482</v>
      </c>
      <c r="F224" s="163" t="s">
        <v>454</v>
      </c>
      <c r="G224" s="215">
        <v>1003547965</v>
      </c>
      <c r="H224" s="215"/>
      <c r="I224" s="47">
        <f>150000</f>
        <v>150000</v>
      </c>
      <c r="J224" s="37">
        <f>'term one 2026'!L226</f>
        <v>0</v>
      </c>
      <c r="K224" s="207"/>
      <c r="L224" s="39">
        <f t="shared" si="3"/>
        <v>150000</v>
      </c>
      <c r="M224" s="216"/>
      <c r="N224" s="42"/>
      <c r="O224" s="42"/>
      <c r="P224" s="42"/>
    </row>
    <row r="225" spans="1:16" ht="15.75" x14ac:dyDescent="0.25">
      <c r="A225">
        <v>203</v>
      </c>
      <c r="B225" s="129">
        <v>17</v>
      </c>
      <c r="C225" s="163" t="s">
        <v>483</v>
      </c>
      <c r="D225" s="163" t="s">
        <v>484</v>
      </c>
      <c r="E225" s="164" t="s">
        <v>485</v>
      </c>
      <c r="F225" s="163" t="s">
        <v>454</v>
      </c>
      <c r="G225" s="165">
        <v>1005517049</v>
      </c>
      <c r="H225" s="165">
        <v>704715330</v>
      </c>
      <c r="I225" s="47">
        <f>'[1]1st term 2025'!J249+150000+60000+20000</f>
        <v>860000</v>
      </c>
      <c r="J225" s="37">
        <f>'term one 2026'!L227</f>
        <v>0</v>
      </c>
      <c r="K225" s="166">
        <f>300000</f>
        <v>300000</v>
      </c>
      <c r="L225" s="39">
        <f t="shared" si="3"/>
        <v>560000</v>
      </c>
      <c r="M225" s="108"/>
      <c r="N225" s="42"/>
      <c r="O225" s="42"/>
      <c r="P225" s="42"/>
    </row>
    <row r="226" spans="1:16" ht="15.75" x14ac:dyDescent="0.25">
      <c r="A226">
        <v>204</v>
      </c>
      <c r="B226" s="129">
        <v>18</v>
      </c>
      <c r="C226" s="163" t="s">
        <v>486</v>
      </c>
      <c r="D226" s="163" t="s">
        <v>487</v>
      </c>
      <c r="E226" s="164" t="s">
        <v>488</v>
      </c>
      <c r="F226" s="163" t="s">
        <v>454</v>
      </c>
      <c r="G226" s="165">
        <v>1006894127</v>
      </c>
      <c r="H226" s="165"/>
      <c r="I226" s="47">
        <f>530000+100000+60000</f>
        <v>690000</v>
      </c>
      <c r="J226" s="37">
        <f>'term one 2026'!L228</f>
        <v>0</v>
      </c>
      <c r="K226" s="166">
        <f>200000+200000+150000</f>
        <v>550000</v>
      </c>
      <c r="L226" s="39">
        <f t="shared" si="3"/>
        <v>140000</v>
      </c>
      <c r="M226" s="108"/>
      <c r="N226" s="42"/>
      <c r="O226" s="42"/>
      <c r="P226" s="42"/>
    </row>
    <row r="227" spans="1:16" ht="15.75" x14ac:dyDescent="0.25">
      <c r="A227">
        <v>205</v>
      </c>
      <c r="B227" s="129">
        <v>19</v>
      </c>
      <c r="C227" s="129" t="s">
        <v>586</v>
      </c>
      <c r="D227" s="129"/>
      <c r="E227" s="130" t="s">
        <v>490</v>
      </c>
      <c r="F227" s="163" t="s">
        <v>221</v>
      </c>
      <c r="G227" s="131">
        <v>1007105160</v>
      </c>
      <c r="H227" s="131"/>
      <c r="I227" s="47">
        <f>530000</f>
        <v>530000</v>
      </c>
      <c r="J227" s="37">
        <f>'term one 2026'!L229</f>
        <v>0</v>
      </c>
      <c r="K227" s="107">
        <f>150000+100000+280000</f>
        <v>530000</v>
      </c>
      <c r="L227" s="39">
        <f t="shared" si="3"/>
        <v>0</v>
      </c>
      <c r="M227" s="78"/>
      <c r="N227" s="42"/>
      <c r="O227" s="42"/>
      <c r="P227" s="42"/>
    </row>
    <row r="228" spans="1:16" ht="15.75" x14ac:dyDescent="0.25">
      <c r="A228">
        <v>206</v>
      </c>
      <c r="B228" s="129">
        <v>20</v>
      </c>
      <c r="C228" s="163" t="s">
        <v>491</v>
      </c>
      <c r="D228" s="163" t="s">
        <v>492</v>
      </c>
      <c r="E228" s="164" t="s">
        <v>493</v>
      </c>
      <c r="F228" s="163" t="s">
        <v>454</v>
      </c>
      <c r="G228" s="165">
        <v>1007940053</v>
      </c>
      <c r="H228" s="165"/>
      <c r="I228" s="47">
        <f>630000+20000</f>
        <v>650000</v>
      </c>
      <c r="J228" s="37">
        <f>'term one 2026'!L230</f>
        <v>0</v>
      </c>
      <c r="K228" s="166">
        <f>460000+190000</f>
        <v>650000</v>
      </c>
      <c r="L228" s="39">
        <f t="shared" si="3"/>
        <v>0</v>
      </c>
      <c r="M228" s="108"/>
      <c r="N228" s="42"/>
      <c r="O228" s="42"/>
      <c r="P228" s="42"/>
    </row>
    <row r="229" spans="1:16" ht="15.75" x14ac:dyDescent="0.25">
      <c r="A229">
        <v>207</v>
      </c>
      <c r="B229" s="129">
        <v>21</v>
      </c>
      <c r="C229" s="183" t="s">
        <v>494</v>
      </c>
      <c r="D229" s="205"/>
      <c r="E229" s="184" t="s">
        <v>495</v>
      </c>
      <c r="F229" s="183" t="s">
        <v>454</v>
      </c>
      <c r="G229" s="185">
        <v>1007093281</v>
      </c>
      <c r="H229" s="185"/>
      <c r="I229" s="217">
        <f>110000</f>
        <v>110000</v>
      </c>
      <c r="J229" s="37">
        <f>'term one 2026'!L231</f>
        <v>0</v>
      </c>
      <c r="K229" s="186"/>
      <c r="L229" s="218">
        <f t="shared" si="3"/>
        <v>110000</v>
      </c>
      <c r="M229" s="187" t="s">
        <v>295</v>
      </c>
      <c r="N229" s="219"/>
      <c r="O229" s="219"/>
      <c r="P229" s="219"/>
    </row>
    <row r="230" spans="1:16" ht="15.75" x14ac:dyDescent="0.25">
      <c r="A230">
        <v>208</v>
      </c>
      <c r="B230" s="129">
        <v>22</v>
      </c>
      <c r="C230" s="82" t="s">
        <v>496</v>
      </c>
      <c r="D230" s="82" t="s">
        <v>497</v>
      </c>
      <c r="E230" s="83"/>
      <c r="F230" s="163" t="s">
        <v>454</v>
      </c>
      <c r="G230" s="84">
        <v>1008474726</v>
      </c>
      <c r="H230" s="84"/>
      <c r="I230" s="47">
        <f>'[1]1st term 2025'!J255+60000+20000</f>
        <v>580000</v>
      </c>
      <c r="J230" s="37">
        <f>'term one 2026'!L232</f>
        <v>121000</v>
      </c>
      <c r="K230" s="78"/>
      <c r="L230" s="39">
        <f>I230+J230-K230</f>
        <v>701000</v>
      </c>
      <c r="M230" s="78"/>
      <c r="N230" s="109"/>
      <c r="O230" s="42"/>
      <c r="P230" s="42"/>
    </row>
    <row r="231" spans="1:16" ht="15.75" x14ac:dyDescent="0.25">
      <c r="A231">
        <v>209</v>
      </c>
      <c r="B231" s="129">
        <v>23</v>
      </c>
      <c r="C231" s="82" t="s">
        <v>157</v>
      </c>
      <c r="D231" s="82" t="s">
        <v>139</v>
      </c>
      <c r="E231" s="83" t="s">
        <v>498</v>
      </c>
      <c r="F231" s="163" t="s">
        <v>454</v>
      </c>
      <c r="G231" s="84">
        <v>1008817341</v>
      </c>
      <c r="H231" s="84"/>
      <c r="I231" s="47">
        <f>'[1]1st term 2025'!J256+60000+20000</f>
        <v>580000</v>
      </c>
      <c r="J231" s="37">
        <f>'term one 2026'!L233</f>
        <v>50000</v>
      </c>
      <c r="K231" s="78">
        <f>300000+200000</f>
        <v>500000</v>
      </c>
      <c r="L231" s="39">
        <f t="shared" si="3"/>
        <v>130000</v>
      </c>
      <c r="M231" s="78"/>
      <c r="N231" s="42"/>
      <c r="O231" s="42"/>
      <c r="P231" s="42"/>
    </row>
    <row r="232" spans="1:16" ht="15.75" x14ac:dyDescent="0.25">
      <c r="A232">
        <v>210</v>
      </c>
      <c r="B232" s="129">
        <v>24</v>
      </c>
      <c r="C232" s="129" t="s">
        <v>499</v>
      </c>
      <c r="D232" s="201" t="s">
        <v>500</v>
      </c>
      <c r="E232" s="130" t="s">
        <v>501</v>
      </c>
      <c r="F232" s="163" t="s">
        <v>454</v>
      </c>
      <c r="G232" s="131">
        <v>1008902598</v>
      </c>
      <c r="H232" s="131"/>
      <c r="I232" s="47">
        <f>'[1]1st term 2025'!J260+20000+50000</f>
        <v>500000</v>
      </c>
      <c r="J232" s="37">
        <f>'term one 2026'!L234</f>
        <v>0</v>
      </c>
      <c r="K232" s="107">
        <f>300000+100000</f>
        <v>400000</v>
      </c>
      <c r="L232" s="39">
        <f t="shared" si="3"/>
        <v>100000</v>
      </c>
      <c r="M232" s="43"/>
      <c r="N232" s="42"/>
      <c r="O232" s="42"/>
      <c r="P232" s="42"/>
    </row>
    <row r="233" spans="1:16" ht="15.75" x14ac:dyDescent="0.25">
      <c r="A233">
        <v>211</v>
      </c>
      <c r="B233" s="129">
        <v>25</v>
      </c>
      <c r="C233" s="129" t="s">
        <v>502</v>
      </c>
      <c r="D233" s="201" t="s">
        <v>503</v>
      </c>
      <c r="E233" s="130"/>
      <c r="F233" s="163" t="s">
        <v>454</v>
      </c>
      <c r="G233" s="131">
        <v>1008971059</v>
      </c>
      <c r="H233" s="131"/>
      <c r="I233" s="47">
        <f>400000+150000+150000+60000+20000+60000</f>
        <v>840000</v>
      </c>
      <c r="J233" s="37">
        <f>'term one 2026'!L235</f>
        <v>0</v>
      </c>
      <c r="K233" s="107">
        <f>400000</f>
        <v>400000</v>
      </c>
      <c r="L233" s="39">
        <f t="shared" si="3"/>
        <v>440000</v>
      </c>
      <c r="M233" s="43"/>
      <c r="N233" s="109"/>
      <c r="O233" s="42"/>
      <c r="P233" s="42"/>
    </row>
    <row r="234" spans="1:16" ht="15.75" x14ac:dyDescent="0.25">
      <c r="A234">
        <v>212</v>
      </c>
      <c r="B234" s="129">
        <v>26</v>
      </c>
      <c r="C234" s="129" t="s">
        <v>504</v>
      </c>
      <c r="D234" s="201" t="s">
        <v>587</v>
      </c>
      <c r="E234" s="130"/>
      <c r="F234" s="163" t="s">
        <v>454</v>
      </c>
      <c r="G234" s="131">
        <v>1009121306</v>
      </c>
      <c r="H234" s="131"/>
      <c r="I234" s="47">
        <f>'[1]1st term 2025'!J262+80000</f>
        <v>580000</v>
      </c>
      <c r="J234" s="37">
        <f>'term one 2026'!L236</f>
        <v>0</v>
      </c>
      <c r="K234" s="107">
        <f>300000+250000+30000</f>
        <v>580000</v>
      </c>
      <c r="L234" s="39">
        <f t="shared" si="3"/>
        <v>0</v>
      </c>
      <c r="M234" s="43" t="s">
        <v>295</v>
      </c>
      <c r="N234" s="42"/>
      <c r="O234" s="42"/>
      <c r="P234" s="42"/>
    </row>
    <row r="235" spans="1:16" ht="15.75" x14ac:dyDescent="0.25">
      <c r="A235">
        <v>213</v>
      </c>
      <c r="B235" s="129">
        <v>27</v>
      </c>
      <c r="C235" s="129" t="s">
        <v>506</v>
      </c>
      <c r="D235" s="201" t="s">
        <v>507</v>
      </c>
      <c r="E235" s="130"/>
      <c r="F235" s="163" t="s">
        <v>454</v>
      </c>
      <c r="G235" s="131"/>
      <c r="H235" s="131"/>
      <c r="I235" s="47">
        <f>630000</f>
        <v>630000</v>
      </c>
      <c r="J235" s="37">
        <f>'term one 2026'!L237</f>
        <v>-300000</v>
      </c>
      <c r="K235" s="107">
        <f>335000</f>
        <v>335000</v>
      </c>
      <c r="L235" s="39">
        <f t="shared" si="3"/>
        <v>-5000</v>
      </c>
      <c r="M235" s="43"/>
      <c r="N235" s="42"/>
      <c r="O235" s="42"/>
      <c r="P235" s="42"/>
    </row>
    <row r="236" spans="1:16" ht="15.75" x14ac:dyDescent="0.25">
      <c r="A236">
        <v>214</v>
      </c>
      <c r="B236" s="227">
        <v>28</v>
      </c>
      <c r="C236" s="227" t="s">
        <v>508</v>
      </c>
      <c r="D236" s="228" t="s">
        <v>284</v>
      </c>
      <c r="E236" s="229"/>
      <c r="F236" s="230" t="s">
        <v>454</v>
      </c>
      <c r="G236" s="231"/>
      <c r="H236" s="231"/>
      <c r="I236" s="232">
        <f>630000+150000+60000+20000</f>
        <v>860000</v>
      </c>
      <c r="J236" s="37">
        <f>'term one 2026'!L238</f>
        <v>30000</v>
      </c>
      <c r="K236" s="142">
        <f>810000</f>
        <v>810000</v>
      </c>
      <c r="L236" s="178">
        <f t="shared" si="3"/>
        <v>80000</v>
      </c>
      <c r="M236" s="226"/>
      <c r="N236" s="42"/>
      <c r="O236" s="42"/>
      <c r="P236" s="42"/>
    </row>
    <row r="237" spans="1:16" ht="15.75" x14ac:dyDescent="0.25">
      <c r="A237">
        <v>215</v>
      </c>
      <c r="B237" s="129">
        <v>29</v>
      </c>
      <c r="C237" s="50" t="s">
        <v>541</v>
      </c>
      <c r="D237" s="50" t="s">
        <v>542</v>
      </c>
      <c r="E237" s="50"/>
      <c r="F237" s="43" t="s">
        <v>753</v>
      </c>
      <c r="G237" s="220"/>
      <c r="H237" s="221"/>
      <c r="I237" s="220">
        <f>50000+20000</f>
        <v>70000</v>
      </c>
      <c r="J237" s="37">
        <f>'term one 2026'!L239</f>
        <v>0</v>
      </c>
      <c r="K237" s="43"/>
      <c r="L237" s="178">
        <f t="shared" si="3"/>
        <v>70000</v>
      </c>
      <c r="M237" s="43"/>
      <c r="N237" s="43"/>
      <c r="O237" s="43"/>
      <c r="P237" s="43"/>
    </row>
    <row r="238" spans="1:16" ht="15.75" x14ac:dyDescent="0.25">
      <c r="A238">
        <v>217</v>
      </c>
      <c r="B238" s="129">
        <v>30</v>
      </c>
      <c r="C238" s="50" t="s">
        <v>750</v>
      </c>
      <c r="D238" s="50" t="s">
        <v>751</v>
      </c>
      <c r="E238" s="50"/>
      <c r="F238" s="43"/>
      <c r="G238" s="234"/>
      <c r="H238" s="235"/>
      <c r="I238" s="220"/>
      <c r="J238" s="37"/>
      <c r="K238" s="31"/>
      <c r="L238" s="180"/>
      <c r="M238" s="31"/>
      <c r="N238" s="42"/>
      <c r="O238" s="42"/>
      <c r="P238" s="42"/>
    </row>
    <row r="239" spans="1:16" ht="15.75" x14ac:dyDescent="0.25">
      <c r="B239" s="83"/>
      <c r="E239" s="41"/>
      <c r="F239" s="42"/>
      <c r="G239" s="234" t="s">
        <v>509</v>
      </c>
      <c r="H239" s="235"/>
      <c r="I239" s="234">
        <f>SUM(I3:I237)</f>
        <v>59150000</v>
      </c>
      <c r="J239" s="234">
        <f>SUM(J3:J237)</f>
        <v>770000</v>
      </c>
      <c r="K239" s="234">
        <f>SUM(K3:K237)</f>
        <v>47657000</v>
      </c>
      <c r="L239" s="234">
        <f>SUM(L3:L237)</f>
        <v>12343000</v>
      </c>
      <c r="M239" s="31"/>
      <c r="N239" s="42"/>
      <c r="O239" s="42"/>
      <c r="P239" s="42"/>
    </row>
    <row r="240" spans="1:16" ht="18.75" x14ac:dyDescent="0.3">
      <c r="C240" s="309" t="s">
        <v>752</v>
      </c>
    </row>
    <row r="242" spans="2:16" ht="15.75" x14ac:dyDescent="0.25">
      <c r="B242" s="42"/>
      <c r="C242" s="41"/>
      <c r="D242" s="41"/>
      <c r="E242" s="41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</row>
    <row r="243" spans="2:16" ht="15.75" x14ac:dyDescent="0.25">
      <c r="B243" s="42"/>
      <c r="C243" s="41" t="s">
        <v>756</v>
      </c>
      <c r="D243" s="41"/>
      <c r="E243" s="41"/>
      <c r="F243" s="42"/>
      <c r="G243" s="42"/>
      <c r="H243" s="42"/>
      <c r="I243" s="42"/>
      <c r="J243" s="222"/>
      <c r="K243" s="42"/>
      <c r="L243" s="42"/>
      <c r="M243" s="42"/>
      <c r="N243" s="42"/>
      <c r="O243" s="42"/>
      <c r="P243" s="42"/>
    </row>
    <row r="244" spans="2:16" ht="15.75" x14ac:dyDescent="0.25">
      <c r="B244" s="42"/>
      <c r="C244" s="41"/>
      <c r="D244" s="41"/>
      <c r="E244" s="41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</row>
    <row r="245" spans="2:16" ht="15.75" x14ac:dyDescent="0.25">
      <c r="B245" s="42"/>
      <c r="C245" s="41"/>
      <c r="D245" s="41"/>
      <c r="E245" s="41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</row>
    <row r="246" spans="2:16" ht="15.75" x14ac:dyDescent="0.25">
      <c r="B246" s="42"/>
      <c r="C246" s="41"/>
      <c r="D246" s="41"/>
      <c r="E246" s="41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</row>
    <row r="247" spans="2:16" ht="15.75" x14ac:dyDescent="0.25">
      <c r="B247" s="42"/>
      <c r="C247" s="41"/>
      <c r="D247" s="41"/>
      <c r="E247" s="41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</row>
    <row r="248" spans="2:16" ht="15.75" x14ac:dyDescent="0.25">
      <c r="B248" s="42"/>
      <c r="C248" s="41"/>
      <c r="D248" s="41"/>
      <c r="E248" s="41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</row>
    <row r="249" spans="2:16" ht="15.75" x14ac:dyDescent="0.25">
      <c r="B249" s="42"/>
      <c r="C249" s="41"/>
      <c r="D249" s="41"/>
      <c r="E249" s="41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</row>
    <row r="250" spans="2:16" ht="15.75" x14ac:dyDescent="0.25">
      <c r="B250" s="42"/>
      <c r="C250" s="41"/>
      <c r="D250" s="41"/>
      <c r="E250" s="41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</row>
    <row r="251" spans="2:16" ht="15.75" x14ac:dyDescent="0.25">
      <c r="B251" s="42"/>
      <c r="C251" s="41"/>
      <c r="D251" s="41"/>
      <c r="E251" s="41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</row>
    <row r="252" spans="2:16" ht="15.75" x14ac:dyDescent="0.25">
      <c r="B252" s="42"/>
      <c r="C252" s="41"/>
      <c r="D252" s="41"/>
      <c r="E252" s="41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</row>
    <row r="253" spans="2:16" ht="15.75" x14ac:dyDescent="0.25">
      <c r="B253" s="42"/>
      <c r="C253" s="41"/>
      <c r="D253" s="41"/>
      <c r="E253" s="41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</row>
    <row r="254" spans="2:16" ht="15.75" x14ac:dyDescent="0.25">
      <c r="B254" s="42"/>
      <c r="C254" s="41"/>
      <c r="D254" s="41"/>
      <c r="E254" s="41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</row>
    <row r="255" spans="2:16" ht="15.75" x14ac:dyDescent="0.25">
      <c r="B255" s="42"/>
      <c r="C255" s="41"/>
      <c r="D255" s="41"/>
      <c r="E255" s="41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</row>
    <row r="256" spans="2:16" ht="15.75" x14ac:dyDescent="0.25">
      <c r="B256" s="42"/>
      <c r="C256" s="41"/>
      <c r="D256" s="41"/>
      <c r="E256" s="41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</row>
  </sheetData>
  <phoneticPr fontId="25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8349-282E-4825-A0FE-4A24805C12A0}">
  <dimension ref="A1"/>
  <sheetViews>
    <sheetView topLeftCell="A49" workbookViewId="0">
      <selection activeCell="G10" sqref="G10"/>
    </sheetView>
  </sheetViews>
  <sheetFormatPr defaultRowHeight="13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term one 2026</vt:lpstr>
      <vt:lpstr>daily expense</vt:lpstr>
      <vt:lpstr>school enrollment</vt:lpstr>
      <vt:lpstr>workbooks</vt:lpstr>
      <vt:lpstr>work book TERM 2</vt:lpstr>
      <vt:lpstr>library</vt:lpstr>
      <vt:lpstr>UNIFORMS TERM TWO</vt:lpstr>
      <vt:lpstr>term two fees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OFFTU EDUCATION</cp:lastModifiedBy>
  <cp:lastPrinted>2026-07-22T10:17:42Z</cp:lastPrinted>
  <dcterms:created xsi:type="dcterms:W3CDTF">2026-01-19T12:50:00Z</dcterms:created>
  <dcterms:modified xsi:type="dcterms:W3CDTF">2026-07-29T06:00:37Z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C1DCBD2327A0483397D899074133A5EC_12</vt:lpwstr>
  </property>
  <property fmtid="{D5CDD505-2E9C-101B-9397-08002B2CF9AE}" pid="3" name="KSOProductBuildVer">
    <vt:lpwstr>1033-12.2.0.23196</vt:lpwstr>
  </property>
</Properties>
</file>